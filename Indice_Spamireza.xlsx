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Jogadores" sheetId="3" state="visible" r:id="rId3"/>
    <sheet xmlns:r="http://schemas.openxmlformats.org/officeDocument/2006/relationships" name="Dados" sheetId="4" state="visible" r:id="rId4"/>
    <sheet xmlns:r="http://schemas.openxmlformats.org/officeDocument/2006/relationships" name="Ranking Geral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E8B94A"/>
      <sz val="16"/>
    </font>
    <font>
      <name val="Arial"/>
      <charset val="1"/>
      <family val="0"/>
      <b val="1"/>
      <color rgb="FFE8B94A"/>
      <sz val="10"/>
    </font>
    <font>
      <name val="Arial"/>
      <charset val="1"/>
      <family val="0"/>
      <color rgb="FF12263A"/>
      <sz val="10"/>
    </font>
    <font>
      <name val="Arial"/>
      <charset val="1"/>
      <family val="0"/>
      <b val="1"/>
      <color rgb="FFE8B94A"/>
      <sz val="14"/>
    </font>
    <font>
      <name val="Arial"/>
      <charset val="1"/>
      <family val="0"/>
      <b val="1"/>
      <color rgb="FFEAF0F7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E8B94A"/>
      <sz val="13"/>
    </font>
    <font>
      <name val="Arial"/>
      <charset val="1"/>
      <family val="0"/>
      <b val="1"/>
      <color rgb="FFE8B94A"/>
      <sz val="12"/>
    </font>
    <font>
      <name val="Arial"/>
      <charset val="1"/>
      <family val="0"/>
      <color rgb="FFEAF0F7"/>
      <sz val="9"/>
    </font>
    <font>
      <name val="Arial"/>
      <charset val="1"/>
      <family val="0"/>
      <b val="1"/>
      <color rgb="FFFFFFFF"/>
      <sz val="9"/>
    </font>
    <font>
      <name val="Arial"/>
      <b val="1"/>
      <color rgb="00FFFFFF"/>
      <sz val="10"/>
    </font>
    <font>
      <name val="Arial"/>
      <color rgb="0012263A"/>
      <sz val="10"/>
    </font>
    <font>
      <name val="Arial"/>
      <b val="1"/>
      <color rgb="00EAF0F7"/>
      <sz val="10"/>
    </font>
  </fonts>
  <fills count="10">
    <fill>
      <patternFill/>
    </fill>
    <fill>
      <patternFill patternType="gray125"/>
    </fill>
    <fill>
      <patternFill patternType="solid">
        <fgColor rgb="FF0B2545"/>
        <bgColor rgb="FF12263A"/>
      </patternFill>
    </fill>
    <fill>
      <patternFill patternType="solid">
        <fgColor rgb="FF13315C"/>
        <bgColor rgb="FF0B2545"/>
      </patternFill>
    </fill>
    <fill>
      <patternFill patternType="solid">
        <fgColor rgb="FFFFF2B2"/>
        <bgColor rgb="FFFFFFCC"/>
      </patternFill>
    </fill>
    <fill>
      <patternFill patternType="solid">
        <fgColor rgb="FF1B4571"/>
        <bgColor rgb="FF2A4A73"/>
      </patternFill>
    </fill>
    <fill>
      <patternFill patternType="solid">
        <fgColor rgb="0013315C"/>
      </patternFill>
    </fill>
    <fill>
      <patternFill patternType="solid">
        <fgColor rgb="00FFF2B2"/>
      </patternFill>
    </fill>
    <fill>
      <patternFill patternType="solid">
        <fgColor rgb="001E7F4F"/>
      </patternFill>
    </fill>
    <fill>
      <patternFill patternType="solid">
        <fgColor rgb="0045607F"/>
      </patternFill>
    </fill>
  </fills>
  <borders count="6">
    <border>
      <left/>
      <right/>
      <top/>
      <bottom/>
      <diagonal/>
    </border>
    <border>
      <left style="thin">
        <color rgb="FF2A4A73"/>
      </left>
      <right/>
      <top style="thin">
        <color rgb="FF2A4A73"/>
      </top>
      <bottom style="thin">
        <color rgb="FF2A4A73"/>
      </bottom>
      <diagonal/>
    </border>
    <border>
      <left style="thin">
        <color rgb="FF2A4A73"/>
      </left>
      <right style="thin">
        <color rgb="FF2A4A73"/>
      </right>
      <top style="thin">
        <color rgb="FF2A4A73"/>
      </top>
      <bottom style="thin">
        <color rgb="FF2A4A73"/>
      </bottom>
      <diagonal/>
    </border>
    <border>
      <left/>
      <right/>
      <top style="thin">
        <color rgb="FF2A4A73"/>
      </top>
      <bottom/>
      <diagonal/>
    </border>
    <border>
      <left/>
      <right/>
      <top style="thin">
        <color rgb="FF2A4A73"/>
      </top>
      <bottom style="thin">
        <color rgb="FF2A4A73"/>
      </bottom>
      <diagonal/>
    </border>
    <border>
      <left style="thin">
        <color rgb="002A4A73"/>
      </left>
      <right style="thin">
        <color rgb="002A4A73"/>
      </right>
      <top style="thin">
        <color rgb="002A4A73"/>
      </top>
      <bottom style="thin">
        <color rgb="002A4A7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164" fontId="14" fillId="3" borderId="2" applyAlignment="1" pivotButton="0" quotePrefix="0" xfId="0">
      <alignment horizontal="center" vertical="center"/>
    </xf>
    <xf numFmtId="2" fontId="14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2" fontId="14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6" fillId="6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164" fontId="14" fillId="3" borderId="2" applyAlignment="1" pivotButton="0" quotePrefix="0" xfId="0">
      <alignment horizontal="center" vertical="center"/>
    </xf>
    <xf numFmtId="2" fontId="14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2" fontId="14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1E7F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23A4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4F"/>
      <rgbColor rgb="FFC0C0C0"/>
      <rgbColor rgb="FF808080"/>
      <rgbColor rgb="FF9999FF"/>
      <rgbColor rgb="FFB23A48"/>
      <rgbColor rgb="FFFFFFCC"/>
      <rgbColor rgb="FFEA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E8B94A"/>
      <rgbColor rgb="FFFF9900"/>
      <rgbColor rgb="FFFF6600"/>
      <rgbColor rgb="FF666699"/>
      <rgbColor rgb="FF969696"/>
      <rgbColor rgb="FF13315C"/>
      <rgbColor rgb="FF339966"/>
      <rgbColor rgb="FF0B2545"/>
      <rgbColor rgb="FF1B4571"/>
      <rgbColor rgb="FF993300"/>
      <rgbColor rgb="FF993366"/>
      <rgbColor rgb="FF2A4A73"/>
      <rgbColor rgb="FF1226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8" min="1" max="1"/>
    <col width="92" customWidth="1" style="28" min="2" max="2"/>
  </cols>
  <sheetData>
    <row r="1" ht="30" customHeight="1" s="29">
      <c r="A1" s="30" t="inlineStr">
        <is>
          <t>ÍNDICE SPAMIREZA — COMO USAR</t>
        </is>
      </c>
      <c r="B1" s="31" t="n"/>
    </row>
    <row r="3" ht="30" customHeight="1" s="29">
      <c r="A3" s="32" t="inlineStr">
        <is>
          <t>1. Config</t>
        </is>
      </c>
      <c r="B3" s="33" t="inlineStr">
        <is>
          <t>Ajuste pesos, o multiplicador de cada liga e em qual liga cada clã está nesta temporada (células amarelas).</t>
        </is>
      </c>
    </row>
    <row r="4" ht="30" customHeight="1" s="29">
      <c r="A4" s="32" t="inlineStr">
        <is>
          <t>2. Jogadores</t>
        </is>
      </c>
      <c r="B4" s="33" t="inlineStr">
        <is>
          <t>Cada jogador uma vez: nome, clã (1-5) e TH. Preencha o TH (amarelo). Clã 1 já está carregado.</t>
        </is>
      </c>
    </row>
    <row r="5" ht="30" customHeight="1" s="29">
      <c r="A5" s="32" t="inlineStr">
        <is>
          <t>3. Dados</t>
        </is>
      </c>
      <c r="B5" s="33" t="inlineStr">
        <is>
          <t>Uma linha por jogador por guerra. Estrelas só se atacou; em branco se não atacou.</t>
        </is>
      </c>
    </row>
    <row r="6" ht="30" customHeight="1" s="29">
      <c r="A6" s="32" t="inlineStr">
        <is>
          <t xml:space="preserve">   → Substituído</t>
        </is>
      </c>
      <c r="B6" s="33" t="inlineStr">
        <is>
          <t>Tirado da line antes de atacar? Marque 'Substituído = S'. NÃO conta contra ele.</t>
        </is>
      </c>
    </row>
    <row r="7" ht="30" customHeight="1" s="29">
      <c r="A7" s="32" t="inlineStr">
        <is>
          <t xml:space="preserve">   → Faltou</t>
        </is>
      </c>
      <c r="B7" s="33" t="inlineStr">
        <is>
          <t>Ficou escalado e não usou o ataque? 'Substituído = N' + estrelas em branco. DERRUBA a confiabilidade.</t>
        </is>
      </c>
    </row>
    <row r="8" ht="30" customHeight="1" s="29">
      <c r="A8" s="32" t="inlineStr">
        <is>
          <t>4. Ranking Geral</t>
        </is>
      </c>
      <c r="B8" s="33" t="inlineStr">
        <is>
          <t>Calcula sozinho: Índice ajustado (sobe/desce), MVP e zonas de promoção/rebaixamento por clã.</t>
        </is>
      </c>
    </row>
    <row r="9" ht="30" customHeight="1" s="29">
      <c r="A9" s="32" t="inlineStr">
        <is>
          <t>Como pontua</t>
        </is>
      </c>
      <c r="B9" s="33" t="inlineStr">
        <is>
          <t>55% ataque (★/ataque) + 20% defesa + 25% confiabilidade, x dificuldade da liga.</t>
        </is>
      </c>
    </row>
    <row r="10" ht="30" customHeight="1" s="29">
      <c r="A10" s="32" t="inlineStr">
        <is>
          <t>MVP</t>
        </is>
      </c>
      <c r="B10" s="33" t="inlineStr">
        <is>
          <t>Maior (estrelas de ataque + estrelas negadas na defesa) na liga.</t>
        </is>
      </c>
    </row>
    <row r="11" ht="30" customHeight="1" s="29">
      <c r="A11" s="32" t="inlineStr">
        <is>
          <t>Faltam</t>
        </is>
      </c>
      <c r="B11" s="33" t="inlineStr">
        <is>
          <t>Listas dos clãs 2 a 5 e o TH de cada jogador — me mande que eu completo.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8" min="1" max="1"/>
    <col width="18" customWidth="1" style="28" min="2" max="2"/>
    <col width="16" customWidth="1" style="28" min="3" max="3"/>
  </cols>
  <sheetData>
    <row r="1" ht="25.5" customHeight="1" s="29">
      <c r="A1" s="34" t="inlineStr">
        <is>
          <t>CONFIGURAÇÃO — ÍNDICE SPAMIREZA</t>
        </is>
      </c>
      <c r="B1" s="31" t="n"/>
      <c r="C1" s="31" t="n"/>
    </row>
    <row r="3" ht="15" customHeight="1" s="29">
      <c r="A3" s="35" t="inlineStr">
        <is>
          <t>PESOS DO ÍNDICE</t>
        </is>
      </c>
      <c r="B3" s="31" t="n"/>
      <c r="C3" s="31" t="n"/>
    </row>
    <row r="4" ht="15" customHeight="1" s="29">
      <c r="A4" s="36" t="inlineStr">
        <is>
          <t>Peso Ataque</t>
        </is>
      </c>
      <c r="B4" s="37" t="n">
        <v>0.55</v>
      </c>
    </row>
    <row r="5" ht="15" customHeight="1" s="29">
      <c r="A5" s="36" t="inlineStr">
        <is>
          <t>Peso Defesa</t>
        </is>
      </c>
      <c r="B5" s="37" t="n">
        <v>0.2</v>
      </c>
    </row>
    <row r="6" ht="15" customHeight="1" s="29">
      <c r="A6" s="36" t="inlineStr">
        <is>
          <t>Peso Confiabilidade</t>
        </is>
      </c>
      <c r="B6" s="37" t="n">
        <v>0.25</v>
      </c>
    </row>
    <row r="7" ht="15" customHeight="1" s="29">
      <c r="A7" s="36" t="inlineStr">
        <is>
          <t>Piso de ataques (elegibilidade)</t>
        </is>
      </c>
      <c r="B7" s="37" t="n">
        <v>3</v>
      </c>
    </row>
    <row r="8" ht="15" customHeight="1" s="29">
      <c r="A8" s="36" t="inlineStr">
        <is>
          <t>Nº promovidos/rebaixados por clã</t>
        </is>
      </c>
      <c r="B8" s="37" t="n">
        <v>2</v>
      </c>
    </row>
    <row r="10" ht="15" customHeight="1" s="29">
      <c r="A10" s="35" t="inlineStr">
        <is>
          <t>MULTIPLICADOR DE LIGA</t>
        </is>
      </c>
      <c r="B10" s="31" t="n"/>
    </row>
    <row r="11" ht="15" customHeight="1" s="29">
      <c r="A11" s="38" t="inlineStr">
        <is>
          <t>Liga</t>
        </is>
      </c>
      <c r="B11" s="38" t="inlineStr">
        <is>
          <t>Multiplicador</t>
        </is>
      </c>
    </row>
    <row r="12" ht="15" customHeight="1" s="29">
      <c r="A12" s="36" t="inlineStr">
        <is>
          <t>Champion I</t>
        </is>
      </c>
      <c r="B12" s="39" t="n">
        <v>1</v>
      </c>
    </row>
    <row r="13" ht="15" customHeight="1" s="29">
      <c r="A13" s="36" t="inlineStr">
        <is>
          <t>Champion II</t>
        </is>
      </c>
      <c r="B13" s="39" t="n">
        <v>0.98</v>
      </c>
    </row>
    <row r="14" ht="15" customHeight="1" s="29">
      <c r="A14" s="36" t="inlineStr">
        <is>
          <t>Champion III</t>
        </is>
      </c>
      <c r="B14" s="39" t="n">
        <v>0.96</v>
      </c>
    </row>
    <row r="15" ht="15" customHeight="1" s="29">
      <c r="A15" s="36" t="inlineStr">
        <is>
          <t>Master I</t>
        </is>
      </c>
      <c r="B15" s="39" t="n">
        <v>0.93</v>
      </c>
    </row>
    <row r="16" ht="15" customHeight="1" s="29">
      <c r="A16" s="36" t="inlineStr">
        <is>
          <t>Master II</t>
        </is>
      </c>
      <c r="B16" s="39" t="n">
        <v>0.9</v>
      </c>
    </row>
    <row r="17" ht="15" customHeight="1" s="29">
      <c r="A17" s="36" t="inlineStr">
        <is>
          <t>Master III</t>
        </is>
      </c>
      <c r="B17" s="39" t="n">
        <v>0.87</v>
      </c>
    </row>
    <row r="18" ht="15" customHeight="1" s="29">
      <c r="A18" s="36" t="inlineStr">
        <is>
          <t>Crystal I</t>
        </is>
      </c>
      <c r="B18" s="39" t="n">
        <v>0.83</v>
      </c>
    </row>
    <row r="19" ht="15" customHeight="1" s="29">
      <c r="A19" s="36" t="inlineStr">
        <is>
          <t>Crystal II</t>
        </is>
      </c>
      <c r="B19" s="39" t="n">
        <v>0.8</v>
      </c>
    </row>
    <row r="20" ht="15" customHeight="1" s="29">
      <c r="A20" s="36" t="inlineStr">
        <is>
          <t>Crystal III</t>
        </is>
      </c>
      <c r="B20" s="39" t="n">
        <v>0.77</v>
      </c>
    </row>
    <row r="21" ht="15" customHeight="1" s="29">
      <c r="A21" s="36" t="inlineStr">
        <is>
          <t>Gold I</t>
        </is>
      </c>
      <c r="B21" s="39" t="n">
        <v>0.72</v>
      </c>
    </row>
    <row r="22" ht="15" customHeight="1" s="29">
      <c r="A22" s="36" t="inlineStr">
        <is>
          <t>Gold II</t>
        </is>
      </c>
      <c r="B22" s="39" t="n">
        <v>0.6899999999999999</v>
      </c>
    </row>
    <row r="23" ht="15" customHeight="1" s="29">
      <c r="A23" s="36" t="inlineStr">
        <is>
          <t>Gold III</t>
        </is>
      </c>
      <c r="B23" s="39" t="n">
        <v>0.66</v>
      </c>
    </row>
    <row r="24" ht="15" customHeight="1" s="29">
      <c r="A24" s="36" t="inlineStr">
        <is>
          <t>Prata ou abaixo</t>
        </is>
      </c>
      <c r="B24" s="39" t="n">
        <v>0.6</v>
      </c>
    </row>
    <row r="27" ht="15" customHeight="1" s="29">
      <c r="A27" s="35" t="inlineStr">
        <is>
          <t>CLÃS DESTA TEMPORADA</t>
        </is>
      </c>
      <c r="B27" s="31" t="n"/>
      <c r="C27" s="31" t="n"/>
    </row>
    <row r="28" ht="15" customHeight="1" s="29">
      <c r="A28" s="38" t="inlineStr">
        <is>
          <t>Clã</t>
        </is>
      </c>
      <c r="B28" s="38" t="inlineStr">
        <is>
          <t>Nome</t>
        </is>
      </c>
      <c r="C28" s="38" t="inlineStr">
        <is>
          <t>Liga atual</t>
        </is>
      </c>
    </row>
    <row r="29" ht="15" customHeight="1" s="29">
      <c r="A29" s="40" t="n">
        <v>1</v>
      </c>
      <c r="B29" s="36" t="inlineStr">
        <is>
          <t>SpamiReza</t>
        </is>
      </c>
      <c r="C29" s="41" t="inlineStr">
        <is>
          <t>Champion I</t>
        </is>
      </c>
    </row>
    <row r="30" ht="15" customHeight="1" s="29">
      <c r="A30" s="40" t="n">
        <v>2</v>
      </c>
      <c r="B30" s="36" t="inlineStr">
        <is>
          <t>RezaSpamandu</t>
        </is>
      </c>
      <c r="C30" s="41" t="inlineStr">
        <is>
          <t>Champion III</t>
        </is>
      </c>
    </row>
    <row r="31" ht="15" customHeight="1" s="29">
      <c r="A31" s="40" t="n">
        <v>3</v>
      </c>
      <c r="B31" s="36" t="inlineStr">
        <is>
          <t>ScamiReza</t>
        </is>
      </c>
      <c r="C31" s="41" t="inlineStr">
        <is>
          <t>Master I</t>
        </is>
      </c>
    </row>
    <row r="32" ht="15" customHeight="1" s="29">
      <c r="A32" s="40" t="n">
        <v>4</v>
      </c>
      <c r="B32" s="36" t="inlineStr">
        <is>
          <t>RezaScamandu</t>
        </is>
      </c>
      <c r="C32" s="41" t="inlineStr">
        <is>
          <t>Master III</t>
        </is>
      </c>
    </row>
    <row r="33" ht="15" customHeight="1" s="29">
      <c r="A33" s="40" t="n">
        <v>5</v>
      </c>
      <c r="B33" s="36" t="inlineStr">
        <is>
          <t>e-SpamiReza</t>
        </is>
      </c>
      <c r="C33" s="41" t="inlineStr">
        <is>
          <t>Crystal I</t>
        </is>
      </c>
    </row>
  </sheetData>
  <mergeCells count="4">
    <mergeCell ref="A1:C1"/>
    <mergeCell ref="A27:C27"/>
    <mergeCell ref="A3:C3"/>
    <mergeCell ref="A10:B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8" min="1" max="1"/>
    <col width="12" customWidth="1" style="28" min="2" max="2"/>
    <col width="8" customWidth="1" style="28" min="3" max="3"/>
    <col width="11" customWidth="1" style="29" min="4" max="4"/>
    <col width="11" customWidth="1" style="29" min="5" max="5"/>
  </cols>
  <sheetData>
    <row r="1" ht="15.75" customHeight="1" s="29">
      <c r="A1" s="42" t="inlineStr">
        <is>
          <t>JOGADORES</t>
        </is>
      </c>
      <c r="B1" s="31" t="n"/>
      <c r="C1" s="31" t="n"/>
    </row>
    <row r="2" ht="15" customHeight="1" s="29">
      <c r="A2" s="43" t="inlineStr">
        <is>
          <t>Jogador</t>
        </is>
      </c>
      <c r="B2" s="43" t="inlineStr">
        <is>
          <t>Clã (1-5)</t>
        </is>
      </c>
      <c r="C2" s="43" t="inlineStr">
        <is>
          <t>TH</t>
        </is>
      </c>
      <c r="D2" s="43" t="inlineStr">
        <is>
          <t>Escalado</t>
        </is>
      </c>
      <c r="E2" s="43" t="inlineStr">
        <is>
          <t>Pos. guerra</t>
        </is>
      </c>
    </row>
    <row r="3" ht="15" customHeight="1" s="29">
      <c r="A3" s="44" t="inlineStr">
        <is>
          <t>Marinaul war</t>
        </is>
      </c>
      <c r="B3" s="45" t="n">
        <v>1</v>
      </c>
      <c r="C3" s="46" t="n"/>
      <c r="D3" s="47" t="inlineStr">
        <is>
          <t>S</t>
        </is>
      </c>
      <c r="E3" s="45" t="n">
        <v>1</v>
      </c>
    </row>
    <row r="4" ht="15" customHeight="1" s="29">
      <c r="A4" s="44" t="inlineStr">
        <is>
          <t>SR · Giovanelli</t>
        </is>
      </c>
      <c r="B4" s="45" t="n">
        <v>1</v>
      </c>
      <c r="C4" s="46" t="n"/>
      <c r="D4" s="47" t="inlineStr">
        <is>
          <t>S</t>
        </is>
      </c>
      <c r="E4" s="45" t="n">
        <v>2</v>
      </c>
    </row>
    <row r="5" ht="15" customHeight="1" s="29">
      <c r="A5" s="44" t="inlineStr">
        <is>
          <t>SR · Jon Snow 2</t>
        </is>
      </c>
      <c r="B5" s="45" t="n">
        <v>1</v>
      </c>
      <c r="C5" s="46" t="n"/>
      <c r="D5" s="47" t="inlineStr">
        <is>
          <t>S</t>
        </is>
      </c>
      <c r="E5" s="45" t="n">
        <v>3</v>
      </c>
    </row>
    <row r="6" ht="15" customHeight="1" s="29">
      <c r="A6" s="44" t="inlineStr">
        <is>
          <t>tozim</t>
        </is>
      </c>
      <c r="B6" s="45" t="n">
        <v>1</v>
      </c>
      <c r="C6" s="46" t="n"/>
      <c r="D6" s="47" t="inlineStr">
        <is>
          <t>S</t>
        </is>
      </c>
      <c r="E6" s="45" t="n">
        <v>4</v>
      </c>
    </row>
    <row r="7" ht="15" customHeight="1" s="29">
      <c r="A7" s="44" t="inlineStr">
        <is>
          <t>Henrique Nerath</t>
        </is>
      </c>
      <c r="B7" s="45" t="n">
        <v>1</v>
      </c>
      <c r="C7" s="46" t="n"/>
      <c r="D7" s="47" t="inlineStr">
        <is>
          <t>S</t>
        </is>
      </c>
      <c r="E7" s="45" t="n">
        <v>5</v>
      </c>
    </row>
    <row r="8" ht="15" customHeight="1" s="29">
      <c r="A8" s="44" t="inlineStr">
        <is>
          <t>KingOfBilada™</t>
        </is>
      </c>
      <c r="B8" s="45" t="n">
        <v>1</v>
      </c>
      <c r="C8" s="46" t="n"/>
      <c r="D8" s="47" t="inlineStr">
        <is>
          <t>S</t>
        </is>
      </c>
      <c r="E8" s="45" t="n">
        <v>6</v>
      </c>
    </row>
    <row r="9" ht="15" customHeight="1" s="29">
      <c r="A9" s="44" t="inlineStr">
        <is>
          <t>SR · Caiçara</t>
        </is>
      </c>
      <c r="B9" s="45" t="n">
        <v>1</v>
      </c>
      <c r="C9" s="46" t="n"/>
      <c r="D9" s="47" t="inlineStr">
        <is>
          <t>S</t>
        </is>
      </c>
      <c r="E9" s="45" t="n">
        <v>7</v>
      </c>
    </row>
    <row r="10" ht="15" customHeight="1" s="29">
      <c r="A10" s="44" t="inlineStr">
        <is>
          <t>Jan</t>
        </is>
      </c>
      <c r="B10" s="45" t="n">
        <v>1</v>
      </c>
      <c r="C10" s="46" t="n"/>
      <c r="D10" s="47" t="inlineStr">
        <is>
          <t>S</t>
        </is>
      </c>
      <c r="E10" s="45" t="n">
        <v>8</v>
      </c>
    </row>
    <row r="11" ht="15" customHeight="1" s="29">
      <c r="A11" s="44" t="inlineStr">
        <is>
          <t>Levi_Neiva</t>
        </is>
      </c>
      <c r="B11" s="45" t="n">
        <v>1</v>
      </c>
      <c r="C11" s="46" t="n"/>
      <c r="D11" s="47" t="inlineStr">
        <is>
          <t>S</t>
        </is>
      </c>
      <c r="E11" s="45" t="n">
        <v>9</v>
      </c>
    </row>
    <row r="12" ht="15" customHeight="1" s="29">
      <c r="A12" s="44" t="inlineStr">
        <is>
          <t>SR · Thiago</t>
        </is>
      </c>
      <c r="B12" s="45" t="n">
        <v>1</v>
      </c>
      <c r="C12" s="46" t="n"/>
      <c r="D12" s="47" t="inlineStr">
        <is>
          <t>S</t>
        </is>
      </c>
      <c r="E12" s="45" t="n">
        <v>10</v>
      </c>
    </row>
    <row r="13" ht="15" customHeight="1" s="29">
      <c r="A13" s="44" t="inlineStr">
        <is>
          <t>Nesk</t>
        </is>
      </c>
      <c r="B13" s="45" t="n">
        <v>1</v>
      </c>
      <c r="C13" s="46" t="n"/>
      <c r="D13" s="47" t="inlineStr">
        <is>
          <t>S</t>
        </is>
      </c>
      <c r="E13" s="45" t="n">
        <v>11</v>
      </c>
    </row>
    <row r="14" ht="15" customHeight="1" s="29">
      <c r="A14" s="44" t="inlineStr">
        <is>
          <t>MAJOR FIV3</t>
        </is>
      </c>
      <c r="B14" s="45" t="n">
        <v>1</v>
      </c>
      <c r="C14" s="46" t="n"/>
      <c r="D14" s="47" t="inlineStr">
        <is>
          <t>S</t>
        </is>
      </c>
      <c r="E14" s="45" t="n">
        <v>12</v>
      </c>
    </row>
    <row r="15" ht="15" customHeight="1" s="29">
      <c r="A15" s="44" t="inlineStr">
        <is>
          <t>Reikan</t>
        </is>
      </c>
      <c r="B15" s="45" t="n">
        <v>1</v>
      </c>
      <c r="C15" s="46" t="n"/>
      <c r="D15" s="47" t="inlineStr">
        <is>
          <t>S</t>
        </is>
      </c>
      <c r="E15" s="45" t="n">
        <v>13</v>
      </c>
    </row>
    <row r="16" ht="15" customHeight="1" s="29">
      <c r="A16" s="44" t="inlineStr">
        <is>
          <t>linch</t>
        </is>
      </c>
      <c r="B16" s="45" t="n">
        <v>1</v>
      </c>
      <c r="C16" s="46" t="n"/>
      <c r="D16" s="47" t="inlineStr">
        <is>
          <t>S</t>
        </is>
      </c>
      <c r="E16" s="45" t="n">
        <v>14</v>
      </c>
    </row>
    <row r="17" ht="15" customHeight="1" s="29">
      <c r="A17" s="44" t="inlineStr">
        <is>
          <t>GENERAL ZOD</t>
        </is>
      </c>
      <c r="B17" s="45" t="n">
        <v>1</v>
      </c>
      <c r="C17" s="46" t="n"/>
      <c r="D17" s="47" t="inlineStr">
        <is>
          <t>S</t>
        </is>
      </c>
      <c r="E17" s="45" t="n">
        <v>15</v>
      </c>
    </row>
    <row r="18" ht="15" customHeight="1" s="29">
      <c r="A18" s="44" t="inlineStr">
        <is>
          <t>SR · InTheDark☆</t>
        </is>
      </c>
      <c r="B18" s="45" t="n">
        <v>1</v>
      </c>
      <c r="C18" s="46" t="n"/>
      <c r="D18" s="48" t="inlineStr">
        <is>
          <t>N</t>
        </is>
      </c>
      <c r="E18" s="45" t="inlineStr"/>
    </row>
    <row r="19" ht="15" customHeight="1" s="29">
      <c r="A19" s="44" t="inlineStr">
        <is>
          <t>LUMINOUS</t>
        </is>
      </c>
      <c r="B19" s="45" t="n">
        <v>1</v>
      </c>
      <c r="C19" s="46" t="n"/>
      <c r="D19" s="48" t="inlineStr">
        <is>
          <t>N</t>
        </is>
      </c>
      <c r="E19" s="45" t="inlineStr"/>
    </row>
    <row r="20">
      <c r="A20" s="44" t="inlineStr">
        <is>
          <t>SR · Jon Snow</t>
        </is>
      </c>
      <c r="B20" s="45" t="n">
        <v>2</v>
      </c>
      <c r="C20" s="46" t="n"/>
      <c r="D20" s="47" t="inlineStr">
        <is>
          <t>S</t>
        </is>
      </c>
      <c r="E20" s="45" t="n">
        <v>1</v>
      </c>
    </row>
    <row r="21">
      <c r="A21" s="44" t="inlineStr">
        <is>
          <t>Tony D. Chopper</t>
        </is>
      </c>
      <c r="B21" s="45" t="n">
        <v>2</v>
      </c>
      <c r="C21" s="46" t="n"/>
      <c r="D21" s="47" t="inlineStr">
        <is>
          <t>S</t>
        </is>
      </c>
      <c r="E21" s="45" t="n">
        <v>2</v>
      </c>
    </row>
    <row r="22">
      <c r="A22" s="44" t="inlineStr">
        <is>
          <t>SrNunes</t>
        </is>
      </c>
      <c r="B22" s="45" t="n">
        <v>2</v>
      </c>
      <c r="C22" s="46" t="n"/>
      <c r="D22" s="47" t="inlineStr">
        <is>
          <t>S</t>
        </is>
      </c>
      <c r="E22" s="45" t="n">
        <v>3</v>
      </c>
    </row>
    <row r="23">
      <c r="A23" s="44" t="inlineStr">
        <is>
          <t>IGRIS™</t>
        </is>
      </c>
      <c r="B23" s="45" t="n">
        <v>2</v>
      </c>
      <c r="C23" s="46" t="n"/>
      <c r="D23" s="47" t="inlineStr">
        <is>
          <t>S</t>
        </is>
      </c>
      <c r="E23" s="45" t="n">
        <v>4</v>
      </c>
    </row>
    <row r="24">
      <c r="A24" s="44" t="inlineStr">
        <is>
          <t>×Darkøn×</t>
        </is>
      </c>
      <c r="B24" s="45" t="n">
        <v>2</v>
      </c>
      <c r="C24" s="46" t="n"/>
      <c r="D24" s="47" t="inlineStr">
        <is>
          <t>S</t>
        </is>
      </c>
      <c r="E24" s="45" t="n">
        <v>5</v>
      </c>
    </row>
    <row r="25">
      <c r="A25" s="44" t="inlineStr">
        <is>
          <t>GSAzevedo30</t>
        </is>
      </c>
      <c r="B25" s="45" t="n">
        <v>2</v>
      </c>
      <c r="C25" s="46" t="n"/>
      <c r="D25" s="47" t="inlineStr">
        <is>
          <t>S</t>
        </is>
      </c>
      <c r="E25" s="45" t="n">
        <v>6</v>
      </c>
    </row>
    <row r="26">
      <c r="A26" s="44" t="inlineStr">
        <is>
          <t>LEANDRO</t>
        </is>
      </c>
      <c r="B26" s="45" t="n">
        <v>2</v>
      </c>
      <c r="C26" s="46" t="n"/>
      <c r="D26" s="47" t="inlineStr">
        <is>
          <t>S</t>
        </is>
      </c>
      <c r="E26" s="45" t="n">
        <v>7</v>
      </c>
    </row>
    <row r="27">
      <c r="A27" s="44" t="inlineStr">
        <is>
          <t>LSWRTH</t>
        </is>
      </c>
      <c r="B27" s="45" t="n">
        <v>2</v>
      </c>
      <c r="C27" s="46" t="n"/>
      <c r="D27" s="47" t="inlineStr">
        <is>
          <t>S</t>
        </is>
      </c>
      <c r="E27" s="45" t="n">
        <v>8</v>
      </c>
    </row>
    <row r="28">
      <c r="A28" s="44" t="inlineStr">
        <is>
          <t>Neskau</t>
        </is>
      </c>
      <c r="B28" s="45" t="n">
        <v>2</v>
      </c>
      <c r="C28" s="46" t="n"/>
      <c r="D28" s="47" t="inlineStr">
        <is>
          <t>S</t>
        </is>
      </c>
      <c r="E28" s="45" t="n">
        <v>9</v>
      </c>
    </row>
    <row r="29">
      <c r="A29" s="44" t="inlineStr">
        <is>
          <t>SR . João V.</t>
        </is>
      </c>
      <c r="B29" s="45" t="n">
        <v>2</v>
      </c>
      <c r="C29" s="46" t="n"/>
      <c r="D29" s="47" t="inlineStr">
        <is>
          <t>S</t>
        </is>
      </c>
      <c r="E29" s="45" t="n">
        <v>10</v>
      </c>
    </row>
    <row r="30">
      <c r="A30" s="44" t="inlineStr">
        <is>
          <t>TomorrowBr</t>
        </is>
      </c>
      <c r="B30" s="45" t="n">
        <v>2</v>
      </c>
      <c r="C30" s="46" t="n"/>
      <c r="D30" s="47" t="inlineStr">
        <is>
          <t>S</t>
        </is>
      </c>
      <c r="E30" s="45" t="n">
        <v>11</v>
      </c>
    </row>
    <row r="31">
      <c r="A31" s="44" t="inlineStr">
        <is>
          <t>SR · Edu</t>
        </is>
      </c>
      <c r="B31" s="45" t="n">
        <v>2</v>
      </c>
      <c r="C31" s="46" t="n"/>
      <c r="D31" s="47" t="inlineStr">
        <is>
          <t>S</t>
        </is>
      </c>
      <c r="E31" s="45" t="n">
        <v>12</v>
      </c>
    </row>
    <row r="32">
      <c r="A32" s="44" t="inlineStr">
        <is>
          <t>SR·GOD kratos</t>
        </is>
      </c>
      <c r="B32" s="45" t="n">
        <v>2</v>
      </c>
      <c r="C32" s="46" t="n"/>
      <c r="D32" s="47" t="inlineStr">
        <is>
          <t>S</t>
        </is>
      </c>
      <c r="E32" s="45" t="n">
        <v>13</v>
      </c>
    </row>
    <row r="33">
      <c r="A33" s="44" t="inlineStr">
        <is>
          <t>MAJOR FIV3</t>
        </is>
      </c>
      <c r="B33" s="45" t="n">
        <v>2</v>
      </c>
      <c r="C33" s="46" t="n"/>
      <c r="D33" s="47" t="inlineStr">
        <is>
          <t>S</t>
        </is>
      </c>
      <c r="E33" s="45" t="n">
        <v>14</v>
      </c>
    </row>
    <row r="34">
      <c r="A34" s="44" t="inlineStr">
        <is>
          <t>PaiDeFamilia</t>
        </is>
      </c>
      <c r="B34" s="45" t="n">
        <v>2</v>
      </c>
      <c r="C34" s="46" t="n"/>
      <c r="D34" s="47" t="inlineStr">
        <is>
          <t>S</t>
        </is>
      </c>
      <c r="E34" s="45" t="n">
        <v>15</v>
      </c>
    </row>
    <row r="35">
      <c r="A35" s="44" t="inlineStr">
        <is>
          <t>menolli</t>
        </is>
      </c>
      <c r="B35" s="45" t="n">
        <v>2</v>
      </c>
      <c r="C35" s="46" t="n"/>
      <c r="D35" s="48" t="inlineStr">
        <is>
          <t>N</t>
        </is>
      </c>
      <c r="E35" s="45" t="inlineStr"/>
    </row>
    <row r="36">
      <c r="A36" s="44" t="inlineStr">
        <is>
          <t>Nathan♣</t>
        </is>
      </c>
      <c r="B36" s="45" t="n">
        <v>2</v>
      </c>
      <c r="C36" s="46" t="n"/>
      <c r="D36" s="48" t="inlineStr">
        <is>
          <t>N</t>
        </is>
      </c>
      <c r="E36" s="45" t="inlineStr"/>
    </row>
    <row r="37">
      <c r="A37" s="44" t="inlineStr">
        <is>
          <t>SR · Camburi</t>
        </is>
      </c>
      <c r="B37" s="45" t="n">
        <v>2</v>
      </c>
      <c r="C37" s="46" t="n"/>
      <c r="D37" s="48" t="inlineStr">
        <is>
          <t>N</t>
        </is>
      </c>
      <c r="E37" s="45" t="inlineStr"/>
    </row>
    <row r="38">
      <c r="A38" s="44" t="inlineStr">
        <is>
          <t>Sene</t>
        </is>
      </c>
      <c r="B38" s="45" t="n">
        <v>3</v>
      </c>
      <c r="C38" s="46" t="n"/>
      <c r="D38" s="47" t="inlineStr">
        <is>
          <t>S</t>
        </is>
      </c>
      <c r="E38" s="45" t="n">
        <v>1</v>
      </c>
    </row>
    <row r="39">
      <c r="A39" s="44" t="inlineStr">
        <is>
          <t>Agnes</t>
        </is>
      </c>
      <c r="B39" s="45" t="n">
        <v>3</v>
      </c>
      <c r="C39" s="46" t="n"/>
      <c r="D39" s="47" t="inlineStr">
        <is>
          <t>S</t>
        </is>
      </c>
      <c r="E39" s="45" t="n">
        <v>2</v>
      </c>
    </row>
    <row r="40">
      <c r="A40" s="44" t="inlineStr">
        <is>
          <t>MattosxP</t>
        </is>
      </c>
      <c r="B40" s="45" t="n">
        <v>3</v>
      </c>
      <c r="C40" s="46" t="n"/>
      <c r="D40" s="47" t="inlineStr">
        <is>
          <t>S</t>
        </is>
      </c>
      <c r="E40" s="45" t="n">
        <v>3</v>
      </c>
    </row>
    <row r="41">
      <c r="A41" s="44" t="inlineStr">
        <is>
          <t>☆VILA DO PX ッ</t>
        </is>
      </c>
      <c r="B41" s="45" t="n">
        <v>3</v>
      </c>
      <c r="C41" s="46" t="n"/>
      <c r="D41" s="47" t="inlineStr">
        <is>
          <t>S</t>
        </is>
      </c>
      <c r="E41" s="45" t="n">
        <v>4</v>
      </c>
    </row>
    <row r="42">
      <c r="A42" s="44" t="inlineStr">
        <is>
          <t>Samuel Soares</t>
        </is>
      </c>
      <c r="B42" s="45" t="n">
        <v>3</v>
      </c>
      <c r="C42" s="46" t="n"/>
      <c r="D42" s="47" t="inlineStr">
        <is>
          <t>S</t>
        </is>
      </c>
      <c r="E42" s="45" t="n">
        <v>5</v>
      </c>
    </row>
    <row r="43">
      <c r="A43" s="44" t="inlineStr">
        <is>
          <t>SR · Pbalestra</t>
        </is>
      </c>
      <c r="B43" s="45" t="n">
        <v>3</v>
      </c>
      <c r="C43" s="46" t="n"/>
      <c r="D43" s="47" t="inlineStr">
        <is>
          <t>S</t>
        </is>
      </c>
      <c r="E43" s="45" t="n">
        <v>6</v>
      </c>
    </row>
    <row r="44">
      <c r="A44" s="44" t="inlineStr">
        <is>
          <t>KingMpg</t>
        </is>
      </c>
      <c r="B44" s="45" t="n">
        <v>3</v>
      </c>
      <c r="C44" s="46" t="n"/>
      <c r="D44" s="47" t="inlineStr">
        <is>
          <t>S</t>
        </is>
      </c>
      <c r="E44" s="45" t="n">
        <v>7</v>
      </c>
    </row>
    <row r="45">
      <c r="A45" s="44" t="inlineStr">
        <is>
          <t>nogz</t>
        </is>
      </c>
      <c r="B45" s="45" t="n">
        <v>3</v>
      </c>
      <c r="C45" s="46" t="n"/>
      <c r="D45" s="47" t="inlineStr">
        <is>
          <t>S</t>
        </is>
      </c>
      <c r="E45" s="45" t="n">
        <v>8</v>
      </c>
    </row>
    <row r="46">
      <c r="A46" s="44" t="inlineStr">
        <is>
          <t>nonick</t>
        </is>
      </c>
      <c r="B46" s="45" t="n">
        <v>3</v>
      </c>
      <c r="C46" s="46" t="n"/>
      <c r="D46" s="47" t="inlineStr">
        <is>
          <t>S</t>
        </is>
      </c>
      <c r="E46" s="45" t="n">
        <v>9</v>
      </c>
    </row>
    <row r="47">
      <c r="A47" s="44" t="inlineStr">
        <is>
          <t>Psico 2k25</t>
        </is>
      </c>
      <c r="B47" s="45" t="n">
        <v>3</v>
      </c>
      <c r="C47" s="46" t="n"/>
      <c r="D47" s="47" t="inlineStr">
        <is>
          <t>S</t>
        </is>
      </c>
      <c r="E47" s="45" t="n">
        <v>10</v>
      </c>
    </row>
    <row r="48">
      <c r="A48" s="44" t="inlineStr">
        <is>
          <t>Maxpaz</t>
        </is>
      </c>
      <c r="B48" s="45" t="n">
        <v>3</v>
      </c>
      <c r="C48" s="46" t="n"/>
      <c r="D48" s="47" t="inlineStr">
        <is>
          <t>S</t>
        </is>
      </c>
      <c r="E48" s="45" t="n">
        <v>11</v>
      </c>
    </row>
    <row r="49">
      <c r="A49" s="44" t="inlineStr">
        <is>
          <t>ROBERTHWILLIAMM</t>
        </is>
      </c>
      <c r="B49" s="45" t="n">
        <v>3</v>
      </c>
      <c r="C49" s="46" t="n"/>
      <c r="D49" s="47" t="inlineStr">
        <is>
          <t>S</t>
        </is>
      </c>
      <c r="E49" s="45" t="n">
        <v>12</v>
      </c>
    </row>
    <row r="50">
      <c r="A50" s="44" t="inlineStr">
        <is>
          <t>chaos</t>
        </is>
      </c>
      <c r="B50" s="45" t="n">
        <v>3</v>
      </c>
      <c r="C50" s="46" t="n"/>
      <c r="D50" s="47" t="inlineStr">
        <is>
          <t>S</t>
        </is>
      </c>
      <c r="E50" s="45" t="n">
        <v>13</v>
      </c>
    </row>
    <row r="51">
      <c r="A51" s="44" t="inlineStr">
        <is>
          <t>SR · The off</t>
        </is>
      </c>
      <c r="B51" s="45" t="n">
        <v>3</v>
      </c>
      <c r="C51" s="46" t="n"/>
      <c r="D51" s="47" t="inlineStr">
        <is>
          <t>S</t>
        </is>
      </c>
      <c r="E51" s="45" t="n">
        <v>14</v>
      </c>
    </row>
    <row r="52">
      <c r="A52" s="44" t="inlineStr">
        <is>
          <t>rei do crime</t>
        </is>
      </c>
      <c r="B52" s="45" t="n">
        <v>3</v>
      </c>
      <c r="C52" s="46" t="n"/>
      <c r="D52" s="47" t="inlineStr">
        <is>
          <t>S</t>
        </is>
      </c>
      <c r="E52" s="45" t="n">
        <v>15</v>
      </c>
    </row>
    <row r="53">
      <c r="A53" s="44" t="inlineStr">
        <is>
          <t>matias?</t>
        </is>
      </c>
      <c r="B53" s="45" t="n">
        <v>3</v>
      </c>
      <c r="C53" s="46" t="n"/>
      <c r="D53" s="47" t="inlineStr">
        <is>
          <t>S</t>
        </is>
      </c>
      <c r="E53" s="45" t="n">
        <v>16</v>
      </c>
    </row>
    <row r="54">
      <c r="A54" s="44" t="inlineStr">
        <is>
          <t>Dalton</t>
        </is>
      </c>
      <c r="B54" s="45" t="n">
        <v>3</v>
      </c>
      <c r="C54" s="46" t="n"/>
      <c r="D54" s="47" t="inlineStr">
        <is>
          <t>S</t>
        </is>
      </c>
      <c r="E54" s="45" t="n">
        <v>17</v>
      </c>
    </row>
    <row r="55">
      <c r="A55" s="44" t="inlineStr">
        <is>
          <t>SR · Nitzuほうめ</t>
        </is>
      </c>
      <c r="B55" s="45" t="n">
        <v>3</v>
      </c>
      <c r="C55" s="46" t="n"/>
      <c r="D55" s="47" t="inlineStr">
        <is>
          <t>S</t>
        </is>
      </c>
      <c r="E55" s="45" t="n">
        <v>18</v>
      </c>
    </row>
    <row r="56">
      <c r="A56" s="44" t="inlineStr">
        <is>
          <t>SR · Balestra</t>
        </is>
      </c>
      <c r="B56" s="45" t="n">
        <v>3</v>
      </c>
      <c r="C56" s="46" t="n"/>
      <c r="D56" s="47" t="inlineStr">
        <is>
          <t>S</t>
        </is>
      </c>
      <c r="E56" s="45" t="n">
        <v>19</v>
      </c>
    </row>
    <row r="57">
      <c r="A57" s="44" t="inlineStr">
        <is>
          <t>·Holtser Ω</t>
        </is>
      </c>
      <c r="B57" s="45" t="n">
        <v>3</v>
      </c>
      <c r="C57" s="46" t="n"/>
      <c r="D57" s="47" t="inlineStr">
        <is>
          <t>S</t>
        </is>
      </c>
      <c r="E57" s="45" t="n">
        <v>20</v>
      </c>
    </row>
    <row r="58">
      <c r="A58" s="44" t="inlineStr">
        <is>
          <t>SR · DuMAR</t>
        </is>
      </c>
      <c r="B58" s="45" t="n">
        <v>3</v>
      </c>
      <c r="C58" s="46" t="n"/>
      <c r="D58" s="47" t="inlineStr">
        <is>
          <t>S</t>
        </is>
      </c>
      <c r="E58" s="45" t="n">
        <v>21</v>
      </c>
    </row>
    <row r="59">
      <c r="A59" s="44" t="inlineStr">
        <is>
          <t>SR · GPM 2</t>
        </is>
      </c>
      <c r="B59" s="45" t="n">
        <v>3</v>
      </c>
      <c r="C59" s="46" t="n"/>
      <c r="D59" s="47" t="inlineStr">
        <is>
          <t>S</t>
        </is>
      </c>
      <c r="E59" s="45" t="n">
        <v>22</v>
      </c>
    </row>
    <row r="60">
      <c r="A60" s="44" t="inlineStr">
        <is>
          <t>RAKAN</t>
        </is>
      </c>
      <c r="B60" s="45" t="n">
        <v>3</v>
      </c>
      <c r="C60" s="46" t="n"/>
      <c r="D60" s="47" t="inlineStr">
        <is>
          <t>S</t>
        </is>
      </c>
      <c r="E60" s="45" t="n">
        <v>23</v>
      </c>
    </row>
    <row r="61">
      <c r="A61" s="44" t="inlineStr">
        <is>
          <t>SR · One☆</t>
        </is>
      </c>
      <c r="B61" s="45" t="n">
        <v>3</v>
      </c>
      <c r="C61" s="46" t="n"/>
      <c r="D61" s="47" t="inlineStr">
        <is>
          <t>S</t>
        </is>
      </c>
      <c r="E61" s="45" t="n">
        <v>24</v>
      </c>
    </row>
    <row r="62">
      <c r="A62" s="44" t="inlineStr">
        <is>
          <t>Duff</t>
        </is>
      </c>
      <c r="B62" s="45" t="n">
        <v>3</v>
      </c>
      <c r="C62" s="46" t="n"/>
      <c r="D62" s="47" t="inlineStr">
        <is>
          <t>S</t>
        </is>
      </c>
      <c r="E62" s="45" t="n">
        <v>25</v>
      </c>
    </row>
    <row r="63">
      <c r="A63" s="44" t="inlineStr">
        <is>
          <t>$ GUADIADOR $</t>
        </is>
      </c>
      <c r="B63" s="45" t="n">
        <v>3</v>
      </c>
      <c r="C63" s="46" t="n"/>
      <c r="D63" s="47" t="inlineStr">
        <is>
          <t>S</t>
        </is>
      </c>
      <c r="E63" s="45" t="n">
        <v>26</v>
      </c>
    </row>
    <row r="64">
      <c r="A64" s="44" t="inlineStr">
        <is>
          <t>nathan_GO$</t>
        </is>
      </c>
      <c r="B64" s="45" t="n">
        <v>3</v>
      </c>
      <c r="C64" s="46" t="n"/>
      <c r="D64" s="47" t="inlineStr">
        <is>
          <t>S</t>
        </is>
      </c>
      <c r="E64" s="45" t="n">
        <v>27</v>
      </c>
    </row>
    <row r="65">
      <c r="A65" s="44" t="inlineStr">
        <is>
          <t>ayumatsui</t>
        </is>
      </c>
      <c r="B65" s="45" t="n">
        <v>3</v>
      </c>
      <c r="C65" s="46" t="n"/>
      <c r="D65" s="47" t="inlineStr">
        <is>
          <t>S</t>
        </is>
      </c>
      <c r="E65" s="45" t="n">
        <v>28</v>
      </c>
    </row>
    <row r="66">
      <c r="A66" s="44" t="inlineStr">
        <is>
          <t>Elianin?</t>
        </is>
      </c>
      <c r="B66" s="45" t="n">
        <v>3</v>
      </c>
      <c r="C66" s="46" t="n"/>
      <c r="D66" s="47" t="inlineStr">
        <is>
          <t>S</t>
        </is>
      </c>
      <c r="E66" s="45" t="n">
        <v>29</v>
      </c>
    </row>
    <row r="67">
      <c r="A67" s="44" t="inlineStr">
        <is>
          <t>F4KER</t>
        </is>
      </c>
      <c r="B67" s="45" t="n">
        <v>3</v>
      </c>
      <c r="C67" s="46" t="n"/>
      <c r="D67" s="47" t="inlineStr">
        <is>
          <t>S</t>
        </is>
      </c>
      <c r="E67" s="45" t="n">
        <v>30</v>
      </c>
    </row>
    <row r="68">
      <c r="A68" s="44" t="inlineStr">
        <is>
          <t>irmão do jorel</t>
        </is>
      </c>
      <c r="B68" s="45" t="n">
        <v>3</v>
      </c>
      <c r="C68" s="46" t="n"/>
      <c r="D68" s="48" t="inlineStr">
        <is>
          <t>N</t>
        </is>
      </c>
      <c r="E68" s="45" t="inlineStr"/>
    </row>
    <row r="69">
      <c r="A69" s="44" t="inlineStr">
        <is>
          <t>Gameplay</t>
        </is>
      </c>
      <c r="B69" s="45" t="n">
        <v>3</v>
      </c>
      <c r="C69" s="46" t="n"/>
      <c r="D69" s="48" t="inlineStr">
        <is>
          <t>N</t>
        </is>
      </c>
      <c r="E69" s="45" t="inlineStr"/>
    </row>
    <row r="70">
      <c r="A70" s="44" t="inlineStr">
        <is>
          <t>Lider Andre</t>
        </is>
      </c>
      <c r="B70" s="45" t="n">
        <v>4</v>
      </c>
      <c r="C70" s="46" t="n"/>
      <c r="D70" s="47" t="inlineStr">
        <is>
          <t>S</t>
        </is>
      </c>
      <c r="E70" s="45" t="n">
        <v>1</v>
      </c>
    </row>
    <row r="71">
      <c r="A71" s="44" t="inlineStr">
        <is>
          <t>Deyvidzk</t>
        </is>
      </c>
      <c r="B71" s="45" t="n">
        <v>4</v>
      </c>
      <c r="C71" s="46" t="n"/>
      <c r="D71" s="47" t="inlineStr">
        <is>
          <t>S</t>
        </is>
      </c>
      <c r="E71" s="45" t="n">
        <v>2</v>
      </c>
    </row>
    <row r="72">
      <c r="A72" s="44" t="inlineStr">
        <is>
          <t>SR·Dos Ovos</t>
        </is>
      </c>
      <c r="B72" s="45" t="n">
        <v>4</v>
      </c>
      <c r="C72" s="46" t="n"/>
      <c r="D72" s="47" t="inlineStr">
        <is>
          <t>S</t>
        </is>
      </c>
      <c r="E72" s="45" t="n">
        <v>3</v>
      </c>
    </row>
    <row r="73">
      <c r="A73" s="44" t="inlineStr">
        <is>
          <t>Lider André 2</t>
        </is>
      </c>
      <c r="B73" s="45" t="n">
        <v>4</v>
      </c>
      <c r="C73" s="46" t="n"/>
      <c r="D73" s="47" t="inlineStr">
        <is>
          <t>S</t>
        </is>
      </c>
      <c r="E73" s="45" t="n">
        <v>4</v>
      </c>
    </row>
    <row r="74">
      <c r="A74" s="44" t="inlineStr">
        <is>
          <t>SR · Dennis</t>
        </is>
      </c>
      <c r="B74" s="45" t="n">
        <v>4</v>
      </c>
      <c r="C74" s="46" t="n"/>
      <c r="D74" s="47" t="inlineStr">
        <is>
          <t>S</t>
        </is>
      </c>
      <c r="E74" s="45" t="n">
        <v>5</v>
      </c>
    </row>
    <row r="75">
      <c r="A75" s="44" t="inlineStr">
        <is>
          <t>LigeirinhOxD</t>
        </is>
      </c>
      <c r="B75" s="45" t="n">
        <v>4</v>
      </c>
      <c r="C75" s="46" t="n"/>
      <c r="D75" s="47" t="inlineStr">
        <is>
          <t>S</t>
        </is>
      </c>
      <c r="E75" s="45" t="n">
        <v>6</v>
      </c>
    </row>
    <row r="76">
      <c r="A76" s="44" t="inlineStr">
        <is>
          <t>CoR1nG4 ×.×</t>
        </is>
      </c>
      <c r="B76" s="45" t="n">
        <v>4</v>
      </c>
      <c r="C76" s="46" t="n"/>
      <c r="D76" s="47" t="inlineStr">
        <is>
          <t>S</t>
        </is>
      </c>
      <c r="E76" s="45" t="n">
        <v>7</v>
      </c>
    </row>
    <row r="77">
      <c r="A77" s="44" t="inlineStr">
        <is>
          <t>Lider André 3</t>
        </is>
      </c>
      <c r="B77" s="45" t="n">
        <v>4</v>
      </c>
      <c r="C77" s="46" t="n"/>
      <c r="D77" s="47" t="inlineStr">
        <is>
          <t>S</t>
        </is>
      </c>
      <c r="E77" s="45" t="n">
        <v>8</v>
      </c>
    </row>
    <row r="78">
      <c r="A78" s="44" t="inlineStr">
        <is>
          <t>Fernandes^</t>
        </is>
      </c>
      <c r="B78" s="45" t="n">
        <v>4</v>
      </c>
      <c r="C78" s="46" t="n"/>
      <c r="D78" s="47" t="inlineStr">
        <is>
          <t>S</t>
        </is>
      </c>
      <c r="E78" s="45" t="n">
        <v>9</v>
      </c>
    </row>
    <row r="79">
      <c r="A79" s="44" t="inlineStr">
        <is>
          <t>NAUZIN</t>
        </is>
      </c>
      <c r="B79" s="45" t="n">
        <v>4</v>
      </c>
      <c r="C79" s="46" t="n"/>
      <c r="D79" s="47" t="inlineStr">
        <is>
          <t>S</t>
        </is>
      </c>
      <c r="E79" s="45" t="n">
        <v>10</v>
      </c>
    </row>
    <row r="80">
      <c r="A80" s="44" t="inlineStr">
        <is>
          <t>Nesk'</t>
        </is>
      </c>
      <c r="B80" s="45" t="n">
        <v>4</v>
      </c>
      <c r="C80" s="46" t="n"/>
      <c r="D80" s="47" t="inlineStr">
        <is>
          <t>S</t>
        </is>
      </c>
      <c r="E80" s="45" t="n">
        <v>11</v>
      </c>
    </row>
    <row r="81">
      <c r="A81" s="44" t="inlineStr">
        <is>
          <t>BELLION™</t>
        </is>
      </c>
      <c r="B81" s="45" t="n">
        <v>4</v>
      </c>
      <c r="C81" s="46" t="n"/>
      <c r="D81" s="47" t="inlineStr">
        <is>
          <t>S</t>
        </is>
      </c>
      <c r="E81" s="45" t="n">
        <v>12</v>
      </c>
    </row>
    <row r="82">
      <c r="A82" s="44" t="inlineStr">
        <is>
          <t>BERU炎</t>
        </is>
      </c>
      <c r="B82" s="45" t="n">
        <v>4</v>
      </c>
      <c r="C82" s="46" t="n"/>
      <c r="D82" s="47" t="inlineStr">
        <is>
          <t>S</t>
        </is>
      </c>
      <c r="E82" s="45" t="n">
        <v>13</v>
      </c>
    </row>
    <row r="83">
      <c r="A83" s="44" t="inlineStr">
        <is>
          <t>h7dek1</t>
        </is>
      </c>
      <c r="B83" s="45" t="n">
        <v>4</v>
      </c>
      <c r="C83" s="46" t="n"/>
      <c r="D83" s="47" t="inlineStr">
        <is>
          <t>S</t>
        </is>
      </c>
      <c r="E83" s="45" t="n">
        <v>14</v>
      </c>
    </row>
    <row r="84">
      <c r="A84" s="44" t="inlineStr">
        <is>
          <t>Ghostface</t>
        </is>
      </c>
      <c r="B84" s="45" t="n">
        <v>4</v>
      </c>
      <c r="C84" s="46" t="n"/>
      <c r="D84" s="47" t="inlineStr">
        <is>
          <t>S</t>
        </is>
      </c>
      <c r="E84" s="45" t="n">
        <v>15</v>
      </c>
    </row>
    <row r="85">
      <c r="A85" s="44" t="inlineStr">
        <is>
          <t>Ganso</t>
        </is>
      </c>
      <c r="B85" s="45" t="n">
        <v>4</v>
      </c>
      <c r="C85" s="46" t="n"/>
      <c r="D85" s="47" t="inlineStr">
        <is>
          <t>S</t>
        </is>
      </c>
      <c r="E85" s="45" t="n">
        <v>16</v>
      </c>
    </row>
    <row r="86">
      <c r="A86" s="44" t="inlineStr">
        <is>
          <t>Jan™</t>
        </is>
      </c>
      <c r="B86" s="45" t="n">
        <v>4</v>
      </c>
      <c r="C86" s="46" t="n"/>
      <c r="D86" s="47" t="inlineStr">
        <is>
          <t>S</t>
        </is>
      </c>
      <c r="E86" s="45" t="n">
        <v>17</v>
      </c>
    </row>
    <row r="87">
      <c r="A87" s="44" t="inlineStr">
        <is>
          <t>PaulinhoPH</t>
        </is>
      </c>
      <c r="B87" s="45" t="n">
        <v>4</v>
      </c>
      <c r="C87" s="46" t="n"/>
      <c r="D87" s="47" t="inlineStr">
        <is>
          <t>S</t>
        </is>
      </c>
      <c r="E87" s="45" t="n">
        <v>18</v>
      </c>
    </row>
    <row r="88">
      <c r="A88" s="44" t="inlineStr">
        <is>
          <t>Nathan TH11</t>
        </is>
      </c>
      <c r="B88" s="45" t="n">
        <v>4</v>
      </c>
      <c r="C88" s="46" t="n"/>
      <c r="D88" s="47" t="inlineStr">
        <is>
          <t>S</t>
        </is>
      </c>
      <c r="E88" s="45" t="n">
        <v>19</v>
      </c>
    </row>
    <row r="89">
      <c r="A89" s="44" t="inlineStr">
        <is>
          <t>SR · Chefex</t>
        </is>
      </c>
      <c r="B89" s="45" t="n">
        <v>4</v>
      </c>
      <c r="C89" s="46" t="n"/>
      <c r="D89" s="47" t="inlineStr">
        <is>
          <t>S</t>
        </is>
      </c>
      <c r="E89" s="45" t="n">
        <v>20</v>
      </c>
    </row>
    <row r="90">
      <c r="A90" s="44" t="inlineStr">
        <is>
          <t>SR · JotaErre</t>
        </is>
      </c>
      <c r="B90" s="45" t="n">
        <v>4</v>
      </c>
      <c r="C90" s="46" t="n"/>
      <c r="D90" s="47" t="inlineStr">
        <is>
          <t>S</t>
        </is>
      </c>
      <c r="E90" s="45" t="n">
        <v>21</v>
      </c>
    </row>
    <row r="91">
      <c r="A91" s="44" t="inlineStr">
        <is>
          <t>RAGNAROK</t>
        </is>
      </c>
      <c r="B91" s="45" t="n">
        <v>4</v>
      </c>
      <c r="C91" s="46" t="n"/>
      <c r="D91" s="47" t="inlineStr">
        <is>
          <t>S</t>
        </is>
      </c>
      <c r="E91" s="45" t="n">
        <v>22</v>
      </c>
    </row>
    <row r="92">
      <c r="A92" s="44" t="inlineStr">
        <is>
          <t>Honrado</t>
        </is>
      </c>
      <c r="B92" s="45" t="n">
        <v>4</v>
      </c>
      <c r="C92" s="46" t="n"/>
      <c r="D92" s="47" t="inlineStr">
        <is>
          <t>S</t>
        </is>
      </c>
      <c r="E92" s="45" t="n">
        <v>23</v>
      </c>
    </row>
    <row r="93">
      <c r="A93" s="44" t="inlineStr">
        <is>
          <t>-Meliodas-</t>
        </is>
      </c>
      <c r="B93" s="45" t="n">
        <v>4</v>
      </c>
      <c r="C93" s="46" t="n"/>
      <c r="D93" s="47" t="inlineStr">
        <is>
          <t>S</t>
        </is>
      </c>
      <c r="E93" s="45" t="n">
        <v>24</v>
      </c>
    </row>
    <row r="94">
      <c r="A94" s="44" t="inlineStr">
        <is>
          <t>°DAxiLHA°</t>
        </is>
      </c>
      <c r="B94" s="45" t="n">
        <v>4</v>
      </c>
      <c r="C94" s="46" t="n"/>
      <c r="D94" s="47" t="inlineStr">
        <is>
          <t>S</t>
        </is>
      </c>
      <c r="E94" s="45" t="n">
        <v>25</v>
      </c>
    </row>
    <row r="95">
      <c r="A95" s="44" t="inlineStr">
        <is>
          <t>Tomorrowland</t>
        </is>
      </c>
      <c r="B95" s="45" t="n">
        <v>4</v>
      </c>
      <c r="C95" s="46" t="n"/>
      <c r="D95" s="47" t="inlineStr">
        <is>
          <t>S</t>
        </is>
      </c>
      <c r="E95" s="45" t="n">
        <v>26</v>
      </c>
    </row>
    <row r="96">
      <c r="A96" s="44" t="inlineStr">
        <is>
          <t>☆InTheDark☆</t>
        </is>
      </c>
      <c r="B96" s="45" t="n">
        <v>4</v>
      </c>
      <c r="C96" s="46" t="n"/>
      <c r="D96" s="47" t="inlineStr">
        <is>
          <t>S</t>
        </is>
      </c>
      <c r="E96" s="45" t="n">
        <v>27</v>
      </c>
    </row>
    <row r="97">
      <c r="A97" s="44" t="inlineStr">
        <is>
          <t>JigSaw</t>
        </is>
      </c>
      <c r="B97" s="45" t="n">
        <v>4</v>
      </c>
      <c r="C97" s="46" t="n"/>
      <c r="D97" s="47" t="inlineStr">
        <is>
          <t>S</t>
        </is>
      </c>
      <c r="E97" s="45" t="n">
        <v>28</v>
      </c>
    </row>
    <row r="98">
      <c r="A98" s="44" t="inlineStr">
        <is>
          <t>Ligeirinh2xD</t>
        </is>
      </c>
      <c r="B98" s="45" t="n">
        <v>4</v>
      </c>
      <c r="C98" s="46" t="n"/>
      <c r="D98" s="47" t="inlineStr">
        <is>
          <t>S</t>
        </is>
      </c>
      <c r="E98" s="45" t="n">
        <v>29</v>
      </c>
    </row>
    <row r="99">
      <c r="A99" s="44" t="inlineStr">
        <is>
          <t>GSAzevedo30 #2</t>
        </is>
      </c>
      <c r="B99" s="45" t="n">
        <v>4</v>
      </c>
      <c r="C99" s="46" t="n"/>
      <c r="D99" s="47" t="inlineStr">
        <is>
          <t>S</t>
        </is>
      </c>
      <c r="E99" s="45" t="n">
        <v>30</v>
      </c>
    </row>
    <row r="100">
      <c r="A100" s="44" t="inlineStr">
        <is>
          <t>SR · Borges</t>
        </is>
      </c>
      <c r="B100" s="45" t="n">
        <v>4</v>
      </c>
      <c r="C100" s="46" t="n"/>
      <c r="D100" s="48" t="inlineStr">
        <is>
          <t>N</t>
        </is>
      </c>
      <c r="E100" s="45" t="inlineStr"/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28" min="1" max="1"/>
    <col width="9" customWidth="1" style="28" min="2" max="2"/>
    <col width="14" customWidth="1" style="28" min="3" max="3"/>
    <col width="20" customWidth="1" style="28" min="4" max="4"/>
    <col width="12" customWidth="1" style="28" min="5" max="6"/>
    <col width="10" customWidth="1" style="28" min="7" max="7"/>
    <col width="14" customWidth="1" style="28" min="8" max="8"/>
    <col width="16" customWidth="1" style="28" min="9" max="9"/>
  </cols>
  <sheetData>
    <row r="1" ht="15" customHeight="1" s="29">
      <c r="A1" s="49" t="inlineStr">
        <is>
          <t>DADOS DA LIGA — 1 linha por jogador por guerra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3.25" customHeight="1" s="29">
      <c r="A2" s="38" t="inlineStr">
        <is>
          <t>Jogador</t>
        </is>
      </c>
      <c r="B2" s="38" t="inlineStr">
        <is>
          <t>Guerra</t>
        </is>
      </c>
      <c r="C2" s="38" t="inlineStr">
        <is>
          <t>Escalado (S/N)</t>
        </is>
      </c>
      <c r="D2" s="38" t="inlineStr">
        <is>
          <t>Substituído antes de atacar (S/N)</t>
        </is>
      </c>
      <c r="E2" s="38" t="inlineStr">
        <is>
          <t>Estrelas (0-3)</t>
        </is>
      </c>
      <c r="F2" s="38" t="inlineStr">
        <is>
          <t>Destruição %</t>
        </is>
      </c>
      <c r="G2" s="38" t="inlineStr">
        <is>
          <t>Nº Defesas</t>
        </is>
      </c>
      <c r="H2" s="38" t="inlineStr">
        <is>
          <t>Estrelas sofridas</t>
        </is>
      </c>
      <c r="I2" s="38" t="inlineStr">
        <is>
          <t>Destruição sofrida %</t>
        </is>
      </c>
    </row>
  </sheetData>
  <mergeCells count="1">
    <mergeCell ref="A1:I1"/>
  </mergeCells>
  <dataValidations count="4">
    <dataValidation sqref="C3:D600" showDropDown="0" showInputMessage="0" showErrorMessage="0" allowBlank="0" type="list" errorStyle="stop" operator="between">
      <formula1>"S,N"</formula1>
      <formula2>0</formula2>
    </dataValidation>
    <dataValidation sqref="E3:E600" showDropDown="0" showInputMessage="0" showErrorMessage="0" allowBlank="1" type="list" errorStyle="stop" operator="between">
      <formula1>"0,1,2,3"</formula1>
      <formula2>0</formula2>
    </dataValidation>
    <dataValidation sqref="B3:B600" showDropDown="0" showInputMessage="0" showErrorMessage="0" allowBlank="0" type="whole" errorStyle="stop" operator="between">
      <formula1>1</formula1>
      <formula2>7</formula2>
    </dataValidation>
    <dataValidation sqref="A3:A600" showDropDown="0" showInputMessage="0" showErrorMessage="0" allowBlank="1" type="list" errorStyle="stop" operator="between">
      <formula1>Jogadores!$A$3:$A$200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8" min="1" max="1"/>
    <col width="6" customWidth="1" style="28" min="2" max="2"/>
    <col width="14" customWidth="1" style="28" min="3" max="3"/>
    <col width="13" customWidth="1" style="28" min="4" max="4"/>
    <col width="6" customWidth="1" style="28" min="5" max="5"/>
    <col width="9" customWidth="1" style="28" min="6" max="6"/>
    <col width="8" customWidth="1" style="28" min="7" max="7"/>
    <col width="9" customWidth="1" style="28" min="8" max="8"/>
    <col width="11" customWidth="1" style="28" min="9" max="9"/>
    <col width="9" customWidth="1" style="28" min="10" max="10"/>
    <col width="10" customWidth="1" style="28" min="11" max="11"/>
    <col width="9" customWidth="1" style="28" min="12" max="12"/>
    <col width="10" customWidth="1" style="28" min="13" max="13"/>
    <col width="11" customWidth="1" style="28" min="14" max="18"/>
    <col width="8" customWidth="1" style="28" min="19" max="19"/>
    <col width="13" customWidth="1" style="28" min="20" max="20"/>
    <col width="10" customWidth="1" style="28" min="21" max="21"/>
    <col width="8" customWidth="1" style="28" min="22" max="22"/>
    <col width="15" customWidth="1" style="28" min="23" max="23"/>
  </cols>
  <sheetData>
    <row r="1" ht="15.75" customHeight="1" s="29">
      <c r="A1" s="42" t="inlineStr">
        <is>
          <t>RANKING GERAL — ÍNDICE SPAMIREZA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</row>
    <row r="2" ht="23.25" customHeight="1" s="29">
      <c r="A2" s="38" t="inlineStr">
        <is>
          <t>Jogador</t>
        </is>
      </c>
      <c r="B2" s="38" t="inlineStr">
        <is>
          <t>Clã</t>
        </is>
      </c>
      <c r="C2" s="38" t="inlineStr">
        <is>
          <t>Clã (nome)</t>
        </is>
      </c>
      <c r="D2" s="38" t="inlineStr">
        <is>
          <t>Liga</t>
        </is>
      </c>
      <c r="E2" s="38" t="inlineStr">
        <is>
          <t>TH</t>
        </is>
      </c>
      <c r="F2" s="38" t="inlineStr">
        <is>
          <t>Ataques</t>
        </is>
      </c>
      <c r="G2" s="38" t="inlineStr">
        <is>
          <t>Total ★</t>
        </is>
      </c>
      <c r="H2" s="38" t="inlineStr">
        <is>
          <t>★/ataque</t>
        </is>
      </c>
      <c r="I2" s="38" t="inlineStr">
        <is>
          <t>Destr. média %</t>
        </is>
      </c>
      <c r="J2" s="38" t="inlineStr">
        <is>
          <t>Oportun.</t>
        </is>
      </c>
      <c r="K2" s="38" t="inlineStr">
        <is>
          <t>Confiab. %</t>
        </is>
      </c>
      <c r="L2" s="38" t="inlineStr">
        <is>
          <t>Total def.</t>
        </is>
      </c>
      <c r="M2" s="38" t="inlineStr">
        <is>
          <t>★ sofridas</t>
        </is>
      </c>
      <c r="N2" s="38" t="inlineStr">
        <is>
          <t>★ sofr./def</t>
        </is>
      </c>
      <c r="O2" s="38" t="inlineStr">
        <is>
          <t>Nota Ataque</t>
        </is>
      </c>
      <c r="P2" s="38" t="inlineStr">
        <is>
          <t>Nota Defesa</t>
        </is>
      </c>
      <c r="Q2" s="38" t="inlineStr">
        <is>
          <t>Nota Confiab</t>
        </is>
      </c>
      <c r="R2" s="38" t="inlineStr">
        <is>
          <t>Índice bruto</t>
        </is>
      </c>
      <c r="S2" s="38" t="inlineStr">
        <is>
          <t>Multipl.</t>
        </is>
      </c>
      <c r="T2" s="38" t="inlineStr">
        <is>
          <t>ÍNDICE AJUST.</t>
        </is>
      </c>
      <c r="U2" s="38" t="inlineStr">
        <is>
          <t>MVP score</t>
        </is>
      </c>
      <c r="V2" s="38" t="inlineStr">
        <is>
          <t>Rank clã</t>
        </is>
      </c>
      <c r="W2" s="38" t="inlineStr">
        <is>
          <t>Zona</t>
        </is>
      </c>
    </row>
    <row r="3" ht="15" customHeight="1" s="29">
      <c r="A3" s="50">
        <f>Jogadores!A3</f>
        <v/>
      </c>
      <c r="B3" s="51">
        <f>IFERROR(VLOOKUP($A3,Jogadores!$A$3:$C$200,2,FALSE()),"")</f>
        <v/>
      </c>
      <c r="C3" s="50">
        <f>IFERROR(VLOOKUP($B3,Config!$A$29:$C$33,2,FALSE()),"")</f>
        <v/>
      </c>
      <c r="D3" s="51">
        <f>IFERROR(VLOOKUP($B3,Config!$A$29:$C$33,3,FALSE()),"")</f>
        <v/>
      </c>
      <c r="E3" s="51">
        <f>IFERROR(VLOOKUP($A3,Jogadores!$A$3:$C$200,3,FALSE()),"")</f>
        <v/>
      </c>
      <c r="F3" s="51">
        <f>COUNTIFS(Dados!$A$3:$A$600,$A3,Dados!$E$3:$E$600,"&gt;=0")</f>
        <v/>
      </c>
      <c r="G3" s="51">
        <f>SUMIFS(Dados!$E$3:$E$600,Dados!$A$3:$A$600,$A3)</f>
        <v/>
      </c>
      <c r="H3" s="52">
        <f>IFERROR(G3/F3,0)</f>
        <v/>
      </c>
      <c r="I3" s="52">
        <f>IFERROR(AVERAGEIFS(Dados!$F$3:$F$600,Dados!$A$3:$A$600,$A3,Dados!$E$3:$E$600,"&gt;=0"),0)</f>
        <v/>
      </c>
      <c r="J3" s="51">
        <f>COUNTIFS(Dados!$A$3:$A$600,$A3,Dados!$C$3:$C$600,"S",Dados!$D$3:$D$600,"N")</f>
        <v/>
      </c>
      <c r="K3" s="52">
        <f>IFERROR(MIN(1,F3/J3),0)</f>
        <v/>
      </c>
      <c r="L3" s="51">
        <f>SUMIFS(Dados!$G$3:$G$600,Dados!$A$3:$A$600,$A3)</f>
        <v/>
      </c>
      <c r="M3" s="51">
        <f>SUMIFS(Dados!$H$3:$H$600,Dados!$A$3:$A$600,$A3)</f>
        <v/>
      </c>
      <c r="N3" s="53">
        <f>IFERROR(M3/L3,0)</f>
        <v/>
      </c>
      <c r="O3" s="52">
        <f>H3/3*100</f>
        <v/>
      </c>
      <c r="P3" s="52">
        <f>IF(L3=0,100,(1-M3/(3*L3))*100)</f>
        <v/>
      </c>
      <c r="Q3" s="52">
        <f>K3*100</f>
        <v/>
      </c>
      <c r="R3" s="52">
        <f>Config!$B$4*O3+Config!$B$5*P3+Config!$B$6*Q3</f>
        <v/>
      </c>
      <c r="S3" s="53">
        <f>IFERROR(VLOOKUP($D3,Config!$A$12:$B$24,2,FALSE()),1)</f>
        <v/>
      </c>
      <c r="T3" s="54">
        <f>R3*S3</f>
        <v/>
      </c>
      <c r="U3" s="55">
        <f>G3+(3*L3-M3)</f>
        <v/>
      </c>
      <c r="V3" s="51">
        <f>IF($A3="","",SUMPRODUCT(($B$3:$B$19=$B3)*($T$3:$T$19&gt;$T3))+1)</f>
        <v/>
      </c>
      <c r="W3" s="51">
        <f>IF($A3="","",IF($F3&lt;Config!$B$7,"Sem amostra",IF(AND($B3&gt;1,$V3&lt;=Config!$B$8),"⬆ Promoção",IF(AND($B3&lt;5,$V3&gt;COUNTIF($B$3:$B$19,$B3)-Config!$B$8),"⬇ Rebaixamento","—"))))</f>
        <v/>
      </c>
    </row>
    <row r="4" ht="15" customHeight="1" s="29">
      <c r="A4" s="56">
        <f>Jogadores!A4</f>
        <v/>
      </c>
      <c r="B4" s="57">
        <f>IFERROR(VLOOKUP($A4,Jogadores!$A$3:$C$200,2,FALSE()),"")</f>
        <v/>
      </c>
      <c r="C4" s="56">
        <f>IFERROR(VLOOKUP($B4,Config!$A$29:$C$33,2,FALSE()),"")</f>
        <v/>
      </c>
      <c r="D4" s="57">
        <f>IFERROR(VLOOKUP($B4,Config!$A$29:$C$33,3,FALSE()),"")</f>
        <v/>
      </c>
      <c r="E4" s="57">
        <f>IFERROR(VLOOKUP($A4,Jogadores!$A$3:$C$200,3,FALSE()),"")</f>
        <v/>
      </c>
      <c r="F4" s="57">
        <f>COUNTIFS(Dados!$A$3:$A$600,$A4,Dados!$E$3:$E$600,"&gt;=0")</f>
        <v/>
      </c>
      <c r="G4" s="57">
        <f>SUMIFS(Dados!$E$3:$E$600,Dados!$A$3:$A$600,$A4)</f>
        <v/>
      </c>
      <c r="H4" s="58">
        <f>IFERROR(G4/F4,0)</f>
        <v/>
      </c>
      <c r="I4" s="58">
        <f>IFERROR(AVERAGEIFS(Dados!$F$3:$F$600,Dados!$A$3:$A$600,$A4,Dados!$E$3:$E$600,"&gt;=0"),0)</f>
        <v/>
      </c>
      <c r="J4" s="57">
        <f>COUNTIFS(Dados!$A$3:$A$600,$A4,Dados!$C$3:$C$600,"S",Dados!$D$3:$D$600,"N")</f>
        <v/>
      </c>
      <c r="K4" s="58">
        <f>IFERROR(MIN(1,F4/J4),0)</f>
        <v/>
      </c>
      <c r="L4" s="57">
        <f>SUMIFS(Dados!$G$3:$G$600,Dados!$A$3:$A$600,$A4)</f>
        <v/>
      </c>
      <c r="M4" s="57">
        <f>SUMIFS(Dados!$H$3:$H$600,Dados!$A$3:$A$600,$A4)</f>
        <v/>
      </c>
      <c r="N4" s="59">
        <f>IFERROR(M4/L4,0)</f>
        <v/>
      </c>
      <c r="O4" s="58">
        <f>H4/3*100</f>
        <v/>
      </c>
      <c r="P4" s="58">
        <f>IF(L4=0,100,(1-M4/(3*L4))*100)</f>
        <v/>
      </c>
      <c r="Q4" s="58">
        <f>K4*100</f>
        <v/>
      </c>
      <c r="R4" s="58">
        <f>Config!$B$4*O4+Config!$B$5*P4+Config!$B$6*Q4</f>
        <v/>
      </c>
      <c r="S4" s="59">
        <f>IFERROR(VLOOKUP($D4,Config!$A$12:$B$24,2,FALSE()),1)</f>
        <v/>
      </c>
      <c r="T4" s="60">
        <f>R4*S4</f>
        <v/>
      </c>
      <c r="U4" s="61">
        <f>G4+(3*L4-M4)</f>
        <v/>
      </c>
      <c r="V4" s="57">
        <f>IF($A4="","",SUMPRODUCT(($B$3:$B$19=$B4)*($T$3:$T$19&gt;$T4))+1)</f>
        <v/>
      </c>
      <c r="W4" s="57">
        <f>IF($A4="","",IF($F4&lt;Config!$B$7,"Sem amostra",IF(AND($B4&gt;1,$V4&lt;=Config!$B$8),"⬆ Promoção",IF(AND($B4&lt;5,$V4&gt;COUNTIF($B$3:$B$19,$B4)-Config!$B$8),"⬇ Rebaixamento","—"))))</f>
        <v/>
      </c>
    </row>
    <row r="5" ht="15" customHeight="1" s="29">
      <c r="A5" s="50">
        <f>Jogadores!A5</f>
        <v/>
      </c>
      <c r="B5" s="51">
        <f>IFERROR(VLOOKUP($A5,Jogadores!$A$3:$C$200,2,FALSE()),"")</f>
        <v/>
      </c>
      <c r="C5" s="50">
        <f>IFERROR(VLOOKUP($B5,Config!$A$29:$C$33,2,FALSE()),"")</f>
        <v/>
      </c>
      <c r="D5" s="51">
        <f>IFERROR(VLOOKUP($B5,Config!$A$29:$C$33,3,FALSE()),"")</f>
        <v/>
      </c>
      <c r="E5" s="51">
        <f>IFERROR(VLOOKUP($A5,Jogadores!$A$3:$C$200,3,FALSE()),"")</f>
        <v/>
      </c>
      <c r="F5" s="51">
        <f>COUNTIFS(Dados!$A$3:$A$600,$A5,Dados!$E$3:$E$600,"&gt;=0")</f>
        <v/>
      </c>
      <c r="G5" s="51">
        <f>SUMIFS(Dados!$E$3:$E$600,Dados!$A$3:$A$600,$A5)</f>
        <v/>
      </c>
      <c r="H5" s="52">
        <f>IFERROR(G5/F5,0)</f>
        <v/>
      </c>
      <c r="I5" s="52">
        <f>IFERROR(AVERAGEIFS(Dados!$F$3:$F$600,Dados!$A$3:$A$600,$A5,Dados!$E$3:$E$600,"&gt;=0"),0)</f>
        <v/>
      </c>
      <c r="J5" s="51">
        <f>COUNTIFS(Dados!$A$3:$A$600,$A5,Dados!$C$3:$C$600,"S",Dados!$D$3:$D$600,"N")</f>
        <v/>
      </c>
      <c r="K5" s="52">
        <f>IFERROR(MIN(1,F5/J5),0)</f>
        <v/>
      </c>
      <c r="L5" s="51">
        <f>SUMIFS(Dados!$G$3:$G$600,Dados!$A$3:$A$600,$A5)</f>
        <v/>
      </c>
      <c r="M5" s="51">
        <f>SUMIFS(Dados!$H$3:$H$600,Dados!$A$3:$A$600,$A5)</f>
        <v/>
      </c>
      <c r="N5" s="53">
        <f>IFERROR(M5/L5,0)</f>
        <v/>
      </c>
      <c r="O5" s="52">
        <f>H5/3*100</f>
        <v/>
      </c>
      <c r="P5" s="52">
        <f>IF(L5=0,100,(1-M5/(3*L5))*100)</f>
        <v/>
      </c>
      <c r="Q5" s="52">
        <f>K5*100</f>
        <v/>
      </c>
      <c r="R5" s="52">
        <f>Config!$B$4*O5+Config!$B$5*P5+Config!$B$6*Q5</f>
        <v/>
      </c>
      <c r="S5" s="53">
        <f>IFERROR(VLOOKUP($D5,Config!$A$12:$B$24,2,FALSE()),1)</f>
        <v/>
      </c>
      <c r="T5" s="54">
        <f>R5*S5</f>
        <v/>
      </c>
      <c r="U5" s="55">
        <f>G5+(3*L5-M5)</f>
        <v/>
      </c>
      <c r="V5" s="51">
        <f>IF($A5="","",SUMPRODUCT(($B$3:$B$19=$B5)*($T$3:$T$19&gt;$T5))+1)</f>
        <v/>
      </c>
      <c r="W5" s="51">
        <f>IF($A5="","",IF($F5&lt;Config!$B$7,"Sem amostra",IF(AND($B5&gt;1,$V5&lt;=Config!$B$8),"⬆ Promoção",IF(AND($B5&lt;5,$V5&gt;COUNTIF($B$3:$B$19,$B5)-Config!$B$8),"⬇ Rebaixamento","—"))))</f>
        <v/>
      </c>
    </row>
    <row r="6" ht="15" customHeight="1" s="29">
      <c r="A6" s="56">
        <f>Jogadores!A6</f>
        <v/>
      </c>
      <c r="B6" s="57">
        <f>IFERROR(VLOOKUP($A6,Jogadores!$A$3:$C$200,2,FALSE()),"")</f>
        <v/>
      </c>
      <c r="C6" s="56">
        <f>IFERROR(VLOOKUP($B6,Config!$A$29:$C$33,2,FALSE()),"")</f>
        <v/>
      </c>
      <c r="D6" s="57">
        <f>IFERROR(VLOOKUP($B6,Config!$A$29:$C$33,3,FALSE()),"")</f>
        <v/>
      </c>
      <c r="E6" s="57">
        <f>IFERROR(VLOOKUP($A6,Jogadores!$A$3:$C$200,3,FALSE()),"")</f>
        <v/>
      </c>
      <c r="F6" s="57">
        <f>COUNTIFS(Dados!$A$3:$A$600,$A6,Dados!$E$3:$E$600,"&gt;=0")</f>
        <v/>
      </c>
      <c r="G6" s="57">
        <f>SUMIFS(Dados!$E$3:$E$600,Dados!$A$3:$A$600,$A6)</f>
        <v/>
      </c>
      <c r="H6" s="58">
        <f>IFERROR(G6/F6,0)</f>
        <v/>
      </c>
      <c r="I6" s="58">
        <f>IFERROR(AVERAGEIFS(Dados!$F$3:$F$600,Dados!$A$3:$A$600,$A6,Dados!$E$3:$E$600,"&gt;=0"),0)</f>
        <v/>
      </c>
      <c r="J6" s="57">
        <f>COUNTIFS(Dados!$A$3:$A$600,$A6,Dados!$C$3:$C$600,"S",Dados!$D$3:$D$600,"N")</f>
        <v/>
      </c>
      <c r="K6" s="58">
        <f>IFERROR(MIN(1,F6/J6),0)</f>
        <v/>
      </c>
      <c r="L6" s="57">
        <f>SUMIFS(Dados!$G$3:$G$600,Dados!$A$3:$A$600,$A6)</f>
        <v/>
      </c>
      <c r="M6" s="57">
        <f>SUMIFS(Dados!$H$3:$H$600,Dados!$A$3:$A$600,$A6)</f>
        <v/>
      </c>
      <c r="N6" s="59">
        <f>IFERROR(M6/L6,0)</f>
        <v/>
      </c>
      <c r="O6" s="58">
        <f>H6/3*100</f>
        <v/>
      </c>
      <c r="P6" s="58">
        <f>IF(L6=0,100,(1-M6/(3*L6))*100)</f>
        <v/>
      </c>
      <c r="Q6" s="58">
        <f>K6*100</f>
        <v/>
      </c>
      <c r="R6" s="58">
        <f>Config!$B$4*O6+Config!$B$5*P6+Config!$B$6*Q6</f>
        <v/>
      </c>
      <c r="S6" s="59">
        <f>IFERROR(VLOOKUP($D6,Config!$A$12:$B$24,2,FALSE()),1)</f>
        <v/>
      </c>
      <c r="T6" s="60">
        <f>R6*S6</f>
        <v/>
      </c>
      <c r="U6" s="61">
        <f>G6+(3*L6-M6)</f>
        <v/>
      </c>
      <c r="V6" s="57">
        <f>IF($A6="","",SUMPRODUCT(($B$3:$B$19=$B6)*($T$3:$T$19&gt;$T6))+1)</f>
        <v/>
      </c>
      <c r="W6" s="57">
        <f>IF($A6="","",IF($F6&lt;Config!$B$7,"Sem amostra",IF(AND($B6&gt;1,$V6&lt;=Config!$B$8),"⬆ Promoção",IF(AND($B6&lt;5,$V6&gt;COUNTIF($B$3:$B$19,$B6)-Config!$B$8),"⬇ Rebaixamento","—"))))</f>
        <v/>
      </c>
    </row>
    <row r="7" ht="15" customHeight="1" s="29">
      <c r="A7" s="50">
        <f>Jogadores!A7</f>
        <v/>
      </c>
      <c r="B7" s="51">
        <f>IFERROR(VLOOKUP($A7,Jogadores!$A$3:$C$200,2,FALSE()),"")</f>
        <v/>
      </c>
      <c r="C7" s="50">
        <f>IFERROR(VLOOKUP($B7,Config!$A$29:$C$33,2,FALSE()),"")</f>
        <v/>
      </c>
      <c r="D7" s="51">
        <f>IFERROR(VLOOKUP($B7,Config!$A$29:$C$33,3,FALSE()),"")</f>
        <v/>
      </c>
      <c r="E7" s="51">
        <f>IFERROR(VLOOKUP($A7,Jogadores!$A$3:$C$200,3,FALSE()),"")</f>
        <v/>
      </c>
      <c r="F7" s="51">
        <f>COUNTIFS(Dados!$A$3:$A$600,$A7,Dados!$E$3:$E$600,"&gt;=0")</f>
        <v/>
      </c>
      <c r="G7" s="51">
        <f>SUMIFS(Dados!$E$3:$E$600,Dados!$A$3:$A$600,$A7)</f>
        <v/>
      </c>
      <c r="H7" s="52">
        <f>IFERROR(G7/F7,0)</f>
        <v/>
      </c>
      <c r="I7" s="52">
        <f>IFERROR(AVERAGEIFS(Dados!$F$3:$F$600,Dados!$A$3:$A$600,$A7,Dados!$E$3:$E$600,"&gt;=0"),0)</f>
        <v/>
      </c>
      <c r="J7" s="51">
        <f>COUNTIFS(Dados!$A$3:$A$600,$A7,Dados!$C$3:$C$600,"S",Dados!$D$3:$D$600,"N")</f>
        <v/>
      </c>
      <c r="K7" s="52">
        <f>IFERROR(MIN(1,F7/J7),0)</f>
        <v/>
      </c>
      <c r="L7" s="51">
        <f>SUMIFS(Dados!$G$3:$G$600,Dados!$A$3:$A$600,$A7)</f>
        <v/>
      </c>
      <c r="M7" s="51">
        <f>SUMIFS(Dados!$H$3:$H$600,Dados!$A$3:$A$600,$A7)</f>
        <v/>
      </c>
      <c r="N7" s="53">
        <f>IFERROR(M7/L7,0)</f>
        <v/>
      </c>
      <c r="O7" s="52">
        <f>H7/3*100</f>
        <v/>
      </c>
      <c r="P7" s="52">
        <f>IF(L7=0,100,(1-M7/(3*L7))*100)</f>
        <v/>
      </c>
      <c r="Q7" s="52">
        <f>K7*100</f>
        <v/>
      </c>
      <c r="R7" s="52">
        <f>Config!$B$4*O7+Config!$B$5*P7+Config!$B$6*Q7</f>
        <v/>
      </c>
      <c r="S7" s="53">
        <f>IFERROR(VLOOKUP($D7,Config!$A$12:$B$24,2,FALSE()),1)</f>
        <v/>
      </c>
      <c r="T7" s="54">
        <f>R7*S7</f>
        <v/>
      </c>
      <c r="U7" s="55">
        <f>G7+(3*L7-M7)</f>
        <v/>
      </c>
      <c r="V7" s="51">
        <f>IF($A7="","",SUMPRODUCT(($B$3:$B$19=$B7)*($T$3:$T$19&gt;$T7))+1)</f>
        <v/>
      </c>
      <c r="W7" s="51">
        <f>IF($A7="","",IF($F7&lt;Config!$B$7,"Sem amostra",IF(AND($B7&gt;1,$V7&lt;=Config!$B$8),"⬆ Promoção",IF(AND($B7&lt;5,$V7&gt;COUNTIF($B$3:$B$19,$B7)-Config!$B$8),"⬇ Rebaixamento","—"))))</f>
        <v/>
      </c>
    </row>
    <row r="8" ht="15" customHeight="1" s="29">
      <c r="A8" s="56">
        <f>Jogadores!A8</f>
        <v/>
      </c>
      <c r="B8" s="57">
        <f>IFERROR(VLOOKUP($A8,Jogadores!$A$3:$C$200,2,FALSE()),"")</f>
        <v/>
      </c>
      <c r="C8" s="56">
        <f>IFERROR(VLOOKUP($B8,Config!$A$29:$C$33,2,FALSE()),"")</f>
        <v/>
      </c>
      <c r="D8" s="57">
        <f>IFERROR(VLOOKUP($B8,Config!$A$29:$C$33,3,FALSE()),"")</f>
        <v/>
      </c>
      <c r="E8" s="57">
        <f>IFERROR(VLOOKUP($A8,Jogadores!$A$3:$C$200,3,FALSE()),"")</f>
        <v/>
      </c>
      <c r="F8" s="57">
        <f>COUNTIFS(Dados!$A$3:$A$600,$A8,Dados!$E$3:$E$600,"&gt;=0")</f>
        <v/>
      </c>
      <c r="G8" s="57">
        <f>SUMIFS(Dados!$E$3:$E$600,Dados!$A$3:$A$600,$A8)</f>
        <v/>
      </c>
      <c r="H8" s="58">
        <f>IFERROR(G8/F8,0)</f>
        <v/>
      </c>
      <c r="I8" s="58">
        <f>IFERROR(AVERAGEIFS(Dados!$F$3:$F$600,Dados!$A$3:$A$600,$A8,Dados!$E$3:$E$600,"&gt;=0"),0)</f>
        <v/>
      </c>
      <c r="J8" s="57">
        <f>COUNTIFS(Dados!$A$3:$A$600,$A8,Dados!$C$3:$C$600,"S",Dados!$D$3:$D$600,"N")</f>
        <v/>
      </c>
      <c r="K8" s="58">
        <f>IFERROR(MIN(1,F8/J8),0)</f>
        <v/>
      </c>
      <c r="L8" s="57">
        <f>SUMIFS(Dados!$G$3:$G$600,Dados!$A$3:$A$600,$A8)</f>
        <v/>
      </c>
      <c r="M8" s="57">
        <f>SUMIFS(Dados!$H$3:$H$600,Dados!$A$3:$A$600,$A8)</f>
        <v/>
      </c>
      <c r="N8" s="59">
        <f>IFERROR(M8/L8,0)</f>
        <v/>
      </c>
      <c r="O8" s="58">
        <f>H8/3*100</f>
        <v/>
      </c>
      <c r="P8" s="58">
        <f>IF(L8=0,100,(1-M8/(3*L8))*100)</f>
        <v/>
      </c>
      <c r="Q8" s="58">
        <f>K8*100</f>
        <v/>
      </c>
      <c r="R8" s="58">
        <f>Config!$B$4*O8+Config!$B$5*P8+Config!$B$6*Q8</f>
        <v/>
      </c>
      <c r="S8" s="59">
        <f>IFERROR(VLOOKUP($D8,Config!$A$12:$B$24,2,FALSE()),1)</f>
        <v/>
      </c>
      <c r="T8" s="60">
        <f>R8*S8</f>
        <v/>
      </c>
      <c r="U8" s="61">
        <f>G8+(3*L8-M8)</f>
        <v/>
      </c>
      <c r="V8" s="57">
        <f>IF($A8="","",SUMPRODUCT(($B$3:$B$19=$B8)*($T$3:$T$19&gt;$T8))+1)</f>
        <v/>
      </c>
      <c r="W8" s="57">
        <f>IF($A8="","",IF($F8&lt;Config!$B$7,"Sem amostra",IF(AND($B8&gt;1,$V8&lt;=Config!$B$8),"⬆ Promoção",IF(AND($B8&lt;5,$V8&gt;COUNTIF($B$3:$B$19,$B8)-Config!$B$8),"⬇ Rebaixamento","—"))))</f>
        <v/>
      </c>
    </row>
    <row r="9" ht="15" customHeight="1" s="29">
      <c r="A9" s="50">
        <f>Jogadores!A9</f>
        <v/>
      </c>
      <c r="B9" s="51">
        <f>IFERROR(VLOOKUP($A9,Jogadores!$A$3:$C$200,2,FALSE()),"")</f>
        <v/>
      </c>
      <c r="C9" s="50">
        <f>IFERROR(VLOOKUP($B9,Config!$A$29:$C$33,2,FALSE()),"")</f>
        <v/>
      </c>
      <c r="D9" s="51">
        <f>IFERROR(VLOOKUP($B9,Config!$A$29:$C$33,3,FALSE()),"")</f>
        <v/>
      </c>
      <c r="E9" s="51">
        <f>IFERROR(VLOOKUP($A9,Jogadores!$A$3:$C$200,3,FALSE()),"")</f>
        <v/>
      </c>
      <c r="F9" s="51">
        <f>COUNTIFS(Dados!$A$3:$A$600,$A9,Dados!$E$3:$E$600,"&gt;=0")</f>
        <v/>
      </c>
      <c r="G9" s="51">
        <f>SUMIFS(Dados!$E$3:$E$600,Dados!$A$3:$A$600,$A9)</f>
        <v/>
      </c>
      <c r="H9" s="52">
        <f>IFERROR(G9/F9,0)</f>
        <v/>
      </c>
      <c r="I9" s="52">
        <f>IFERROR(AVERAGEIFS(Dados!$F$3:$F$600,Dados!$A$3:$A$600,$A9,Dados!$E$3:$E$600,"&gt;=0"),0)</f>
        <v/>
      </c>
      <c r="J9" s="51">
        <f>COUNTIFS(Dados!$A$3:$A$600,$A9,Dados!$C$3:$C$600,"S",Dados!$D$3:$D$600,"N")</f>
        <v/>
      </c>
      <c r="K9" s="52">
        <f>IFERROR(MIN(1,F9/J9),0)</f>
        <v/>
      </c>
      <c r="L9" s="51">
        <f>SUMIFS(Dados!$G$3:$G$600,Dados!$A$3:$A$600,$A9)</f>
        <v/>
      </c>
      <c r="M9" s="51">
        <f>SUMIFS(Dados!$H$3:$H$600,Dados!$A$3:$A$600,$A9)</f>
        <v/>
      </c>
      <c r="N9" s="53">
        <f>IFERROR(M9/L9,0)</f>
        <v/>
      </c>
      <c r="O9" s="52">
        <f>H9/3*100</f>
        <v/>
      </c>
      <c r="P9" s="52">
        <f>IF(L9=0,100,(1-M9/(3*L9))*100)</f>
        <v/>
      </c>
      <c r="Q9" s="52">
        <f>K9*100</f>
        <v/>
      </c>
      <c r="R9" s="52">
        <f>Config!$B$4*O9+Config!$B$5*P9+Config!$B$6*Q9</f>
        <v/>
      </c>
      <c r="S9" s="53">
        <f>IFERROR(VLOOKUP($D9,Config!$A$12:$B$24,2,FALSE()),1)</f>
        <v/>
      </c>
      <c r="T9" s="54">
        <f>R9*S9</f>
        <v/>
      </c>
      <c r="U9" s="55">
        <f>G9+(3*L9-M9)</f>
        <v/>
      </c>
      <c r="V9" s="51">
        <f>IF($A9="","",SUMPRODUCT(($B$3:$B$19=$B9)*($T$3:$T$19&gt;$T9))+1)</f>
        <v/>
      </c>
      <c r="W9" s="51">
        <f>IF($A9="","",IF($F9&lt;Config!$B$7,"Sem amostra",IF(AND($B9&gt;1,$V9&lt;=Config!$B$8),"⬆ Promoção",IF(AND($B9&lt;5,$V9&gt;COUNTIF($B$3:$B$19,$B9)-Config!$B$8),"⬇ Rebaixamento","—"))))</f>
        <v/>
      </c>
    </row>
    <row r="10" ht="15" customHeight="1" s="29">
      <c r="A10" s="56">
        <f>Jogadores!A10</f>
        <v/>
      </c>
      <c r="B10" s="57">
        <f>IFERROR(VLOOKUP($A10,Jogadores!$A$3:$C$200,2,FALSE()),"")</f>
        <v/>
      </c>
      <c r="C10" s="56">
        <f>IFERROR(VLOOKUP($B10,Config!$A$29:$C$33,2,FALSE()),"")</f>
        <v/>
      </c>
      <c r="D10" s="57">
        <f>IFERROR(VLOOKUP($B10,Config!$A$29:$C$33,3,FALSE()),"")</f>
        <v/>
      </c>
      <c r="E10" s="57">
        <f>IFERROR(VLOOKUP($A10,Jogadores!$A$3:$C$200,3,FALSE()),"")</f>
        <v/>
      </c>
      <c r="F10" s="57">
        <f>COUNTIFS(Dados!$A$3:$A$600,$A10,Dados!$E$3:$E$600,"&gt;=0")</f>
        <v/>
      </c>
      <c r="G10" s="57">
        <f>SUMIFS(Dados!$E$3:$E$600,Dados!$A$3:$A$600,$A10)</f>
        <v/>
      </c>
      <c r="H10" s="58">
        <f>IFERROR(G10/F10,0)</f>
        <v/>
      </c>
      <c r="I10" s="58">
        <f>IFERROR(AVERAGEIFS(Dados!$F$3:$F$600,Dados!$A$3:$A$600,$A10,Dados!$E$3:$E$600,"&gt;=0"),0)</f>
        <v/>
      </c>
      <c r="J10" s="57">
        <f>COUNTIFS(Dados!$A$3:$A$600,$A10,Dados!$C$3:$C$600,"S",Dados!$D$3:$D$600,"N")</f>
        <v/>
      </c>
      <c r="K10" s="58">
        <f>IFERROR(MIN(1,F10/J10),0)</f>
        <v/>
      </c>
      <c r="L10" s="57">
        <f>SUMIFS(Dados!$G$3:$G$600,Dados!$A$3:$A$600,$A10)</f>
        <v/>
      </c>
      <c r="M10" s="57">
        <f>SUMIFS(Dados!$H$3:$H$600,Dados!$A$3:$A$600,$A10)</f>
        <v/>
      </c>
      <c r="N10" s="59">
        <f>IFERROR(M10/L10,0)</f>
        <v/>
      </c>
      <c r="O10" s="58">
        <f>H10/3*100</f>
        <v/>
      </c>
      <c r="P10" s="58">
        <f>IF(L10=0,100,(1-M10/(3*L10))*100)</f>
        <v/>
      </c>
      <c r="Q10" s="58">
        <f>K10*100</f>
        <v/>
      </c>
      <c r="R10" s="58">
        <f>Config!$B$4*O10+Config!$B$5*P10+Config!$B$6*Q10</f>
        <v/>
      </c>
      <c r="S10" s="59">
        <f>IFERROR(VLOOKUP($D10,Config!$A$12:$B$24,2,FALSE()),1)</f>
        <v/>
      </c>
      <c r="T10" s="60">
        <f>R10*S10</f>
        <v/>
      </c>
      <c r="U10" s="61">
        <f>G10+(3*L10-M10)</f>
        <v/>
      </c>
      <c r="V10" s="57">
        <f>IF($A10="","",SUMPRODUCT(($B$3:$B$19=$B10)*($T$3:$T$19&gt;$T10))+1)</f>
        <v/>
      </c>
      <c r="W10" s="57">
        <f>IF($A10="","",IF($F10&lt;Config!$B$7,"Sem amostra",IF(AND($B10&gt;1,$V10&lt;=Config!$B$8),"⬆ Promoção",IF(AND($B10&lt;5,$V10&gt;COUNTIF($B$3:$B$19,$B10)-Config!$B$8),"⬇ Rebaixamento","—"))))</f>
        <v/>
      </c>
    </row>
    <row r="11" ht="15" customHeight="1" s="29">
      <c r="A11" s="50">
        <f>Jogadores!A11</f>
        <v/>
      </c>
      <c r="B11" s="51">
        <f>IFERROR(VLOOKUP($A11,Jogadores!$A$3:$C$200,2,FALSE()),"")</f>
        <v/>
      </c>
      <c r="C11" s="50">
        <f>IFERROR(VLOOKUP($B11,Config!$A$29:$C$33,2,FALSE()),"")</f>
        <v/>
      </c>
      <c r="D11" s="51">
        <f>IFERROR(VLOOKUP($B11,Config!$A$29:$C$33,3,FALSE()),"")</f>
        <v/>
      </c>
      <c r="E11" s="51">
        <f>IFERROR(VLOOKUP($A11,Jogadores!$A$3:$C$200,3,FALSE()),"")</f>
        <v/>
      </c>
      <c r="F11" s="51">
        <f>COUNTIFS(Dados!$A$3:$A$600,$A11,Dados!$E$3:$E$600,"&gt;=0")</f>
        <v/>
      </c>
      <c r="G11" s="51">
        <f>SUMIFS(Dados!$E$3:$E$600,Dados!$A$3:$A$600,$A11)</f>
        <v/>
      </c>
      <c r="H11" s="52">
        <f>IFERROR(G11/F11,0)</f>
        <v/>
      </c>
      <c r="I11" s="52">
        <f>IFERROR(AVERAGEIFS(Dados!$F$3:$F$600,Dados!$A$3:$A$600,$A11,Dados!$E$3:$E$600,"&gt;=0"),0)</f>
        <v/>
      </c>
      <c r="J11" s="51">
        <f>COUNTIFS(Dados!$A$3:$A$600,$A11,Dados!$C$3:$C$600,"S",Dados!$D$3:$D$600,"N")</f>
        <v/>
      </c>
      <c r="K11" s="52">
        <f>IFERROR(MIN(1,F11/J11),0)</f>
        <v/>
      </c>
      <c r="L11" s="51">
        <f>SUMIFS(Dados!$G$3:$G$600,Dados!$A$3:$A$600,$A11)</f>
        <v/>
      </c>
      <c r="M11" s="51">
        <f>SUMIFS(Dados!$H$3:$H$600,Dados!$A$3:$A$600,$A11)</f>
        <v/>
      </c>
      <c r="N11" s="53">
        <f>IFERROR(M11/L11,0)</f>
        <v/>
      </c>
      <c r="O11" s="52">
        <f>H11/3*100</f>
        <v/>
      </c>
      <c r="P11" s="52">
        <f>IF(L11=0,100,(1-M11/(3*L11))*100)</f>
        <v/>
      </c>
      <c r="Q11" s="52">
        <f>K11*100</f>
        <v/>
      </c>
      <c r="R11" s="52">
        <f>Config!$B$4*O11+Config!$B$5*P11+Config!$B$6*Q11</f>
        <v/>
      </c>
      <c r="S11" s="53">
        <f>IFERROR(VLOOKUP($D11,Config!$A$12:$B$24,2,FALSE()),1)</f>
        <v/>
      </c>
      <c r="T11" s="54">
        <f>R11*S11</f>
        <v/>
      </c>
      <c r="U11" s="55">
        <f>G11+(3*L11-M11)</f>
        <v/>
      </c>
      <c r="V11" s="51">
        <f>IF($A11="","",SUMPRODUCT(($B$3:$B$19=$B11)*($T$3:$T$19&gt;$T11))+1)</f>
        <v/>
      </c>
      <c r="W11" s="51">
        <f>IF($A11="","",IF($F11&lt;Config!$B$7,"Sem amostra",IF(AND($B11&gt;1,$V11&lt;=Config!$B$8),"⬆ Promoção",IF(AND($B11&lt;5,$V11&gt;COUNTIF($B$3:$B$19,$B11)-Config!$B$8),"⬇ Rebaixamento","—"))))</f>
        <v/>
      </c>
    </row>
    <row r="12" ht="15" customHeight="1" s="29">
      <c r="A12" s="56">
        <f>Jogadores!A12</f>
        <v/>
      </c>
      <c r="B12" s="57">
        <f>IFERROR(VLOOKUP($A12,Jogadores!$A$3:$C$200,2,FALSE()),"")</f>
        <v/>
      </c>
      <c r="C12" s="56">
        <f>IFERROR(VLOOKUP($B12,Config!$A$29:$C$33,2,FALSE()),"")</f>
        <v/>
      </c>
      <c r="D12" s="57">
        <f>IFERROR(VLOOKUP($B12,Config!$A$29:$C$33,3,FALSE()),"")</f>
        <v/>
      </c>
      <c r="E12" s="57">
        <f>IFERROR(VLOOKUP($A12,Jogadores!$A$3:$C$200,3,FALSE()),"")</f>
        <v/>
      </c>
      <c r="F12" s="57">
        <f>COUNTIFS(Dados!$A$3:$A$600,$A12,Dados!$E$3:$E$600,"&gt;=0")</f>
        <v/>
      </c>
      <c r="G12" s="57">
        <f>SUMIFS(Dados!$E$3:$E$600,Dados!$A$3:$A$600,$A12)</f>
        <v/>
      </c>
      <c r="H12" s="58">
        <f>IFERROR(G12/F12,0)</f>
        <v/>
      </c>
      <c r="I12" s="58">
        <f>IFERROR(AVERAGEIFS(Dados!$F$3:$F$600,Dados!$A$3:$A$600,$A12,Dados!$E$3:$E$600,"&gt;=0"),0)</f>
        <v/>
      </c>
      <c r="J12" s="57">
        <f>COUNTIFS(Dados!$A$3:$A$600,$A12,Dados!$C$3:$C$600,"S",Dados!$D$3:$D$600,"N")</f>
        <v/>
      </c>
      <c r="K12" s="58">
        <f>IFERROR(MIN(1,F12/J12),0)</f>
        <v/>
      </c>
      <c r="L12" s="57">
        <f>SUMIFS(Dados!$G$3:$G$600,Dados!$A$3:$A$600,$A12)</f>
        <v/>
      </c>
      <c r="M12" s="57">
        <f>SUMIFS(Dados!$H$3:$H$600,Dados!$A$3:$A$600,$A12)</f>
        <v/>
      </c>
      <c r="N12" s="59">
        <f>IFERROR(M12/L12,0)</f>
        <v/>
      </c>
      <c r="O12" s="58">
        <f>H12/3*100</f>
        <v/>
      </c>
      <c r="P12" s="58">
        <f>IF(L12=0,100,(1-M12/(3*L12))*100)</f>
        <v/>
      </c>
      <c r="Q12" s="58">
        <f>K12*100</f>
        <v/>
      </c>
      <c r="R12" s="58">
        <f>Config!$B$4*O12+Config!$B$5*P12+Config!$B$6*Q12</f>
        <v/>
      </c>
      <c r="S12" s="59">
        <f>IFERROR(VLOOKUP($D12,Config!$A$12:$B$24,2,FALSE()),1)</f>
        <v/>
      </c>
      <c r="T12" s="60">
        <f>R12*S12</f>
        <v/>
      </c>
      <c r="U12" s="61">
        <f>G12+(3*L12-M12)</f>
        <v/>
      </c>
      <c r="V12" s="57">
        <f>IF($A12="","",SUMPRODUCT(($B$3:$B$19=$B12)*($T$3:$T$19&gt;$T12))+1)</f>
        <v/>
      </c>
      <c r="W12" s="57">
        <f>IF($A12="","",IF($F12&lt;Config!$B$7,"Sem amostra",IF(AND($B12&gt;1,$V12&lt;=Config!$B$8),"⬆ Promoção",IF(AND($B12&lt;5,$V12&gt;COUNTIF($B$3:$B$19,$B12)-Config!$B$8),"⬇ Rebaixamento","—"))))</f>
        <v/>
      </c>
    </row>
    <row r="13" ht="15" customHeight="1" s="29">
      <c r="A13" s="50">
        <f>Jogadores!A13</f>
        <v/>
      </c>
      <c r="B13" s="51">
        <f>IFERROR(VLOOKUP($A13,Jogadores!$A$3:$C$200,2,FALSE()),"")</f>
        <v/>
      </c>
      <c r="C13" s="50">
        <f>IFERROR(VLOOKUP($B13,Config!$A$29:$C$33,2,FALSE()),"")</f>
        <v/>
      </c>
      <c r="D13" s="51">
        <f>IFERROR(VLOOKUP($B13,Config!$A$29:$C$33,3,FALSE()),"")</f>
        <v/>
      </c>
      <c r="E13" s="51">
        <f>IFERROR(VLOOKUP($A13,Jogadores!$A$3:$C$200,3,FALSE()),"")</f>
        <v/>
      </c>
      <c r="F13" s="51">
        <f>COUNTIFS(Dados!$A$3:$A$600,$A13,Dados!$E$3:$E$600,"&gt;=0")</f>
        <v/>
      </c>
      <c r="G13" s="51">
        <f>SUMIFS(Dados!$E$3:$E$600,Dados!$A$3:$A$600,$A13)</f>
        <v/>
      </c>
      <c r="H13" s="52">
        <f>IFERROR(G13/F13,0)</f>
        <v/>
      </c>
      <c r="I13" s="52">
        <f>IFERROR(AVERAGEIFS(Dados!$F$3:$F$600,Dados!$A$3:$A$600,$A13,Dados!$E$3:$E$600,"&gt;=0"),0)</f>
        <v/>
      </c>
      <c r="J13" s="51">
        <f>COUNTIFS(Dados!$A$3:$A$600,$A13,Dados!$C$3:$C$600,"S",Dados!$D$3:$D$600,"N")</f>
        <v/>
      </c>
      <c r="K13" s="52">
        <f>IFERROR(MIN(1,F13/J13),0)</f>
        <v/>
      </c>
      <c r="L13" s="51">
        <f>SUMIFS(Dados!$G$3:$G$600,Dados!$A$3:$A$600,$A13)</f>
        <v/>
      </c>
      <c r="M13" s="51">
        <f>SUMIFS(Dados!$H$3:$H$600,Dados!$A$3:$A$600,$A13)</f>
        <v/>
      </c>
      <c r="N13" s="53">
        <f>IFERROR(M13/L13,0)</f>
        <v/>
      </c>
      <c r="O13" s="52">
        <f>H13/3*100</f>
        <v/>
      </c>
      <c r="P13" s="52">
        <f>IF(L13=0,100,(1-M13/(3*L13))*100)</f>
        <v/>
      </c>
      <c r="Q13" s="52">
        <f>K13*100</f>
        <v/>
      </c>
      <c r="R13" s="52">
        <f>Config!$B$4*O13+Config!$B$5*P13+Config!$B$6*Q13</f>
        <v/>
      </c>
      <c r="S13" s="53">
        <f>IFERROR(VLOOKUP($D13,Config!$A$12:$B$24,2,FALSE()),1)</f>
        <v/>
      </c>
      <c r="T13" s="54">
        <f>R13*S13</f>
        <v/>
      </c>
      <c r="U13" s="55">
        <f>G13+(3*L13-M13)</f>
        <v/>
      </c>
      <c r="V13" s="51">
        <f>IF($A13="","",SUMPRODUCT(($B$3:$B$19=$B13)*($T$3:$T$19&gt;$T13))+1)</f>
        <v/>
      </c>
      <c r="W13" s="51">
        <f>IF($A13="","",IF($F13&lt;Config!$B$7,"Sem amostra",IF(AND($B13&gt;1,$V13&lt;=Config!$B$8),"⬆ Promoção",IF(AND($B13&lt;5,$V13&gt;COUNTIF($B$3:$B$19,$B13)-Config!$B$8),"⬇ Rebaixamento","—"))))</f>
        <v/>
      </c>
    </row>
    <row r="14" ht="15" customHeight="1" s="29">
      <c r="A14" s="56">
        <f>Jogadores!A14</f>
        <v/>
      </c>
      <c r="B14" s="57">
        <f>IFERROR(VLOOKUP($A14,Jogadores!$A$3:$C$200,2,FALSE()),"")</f>
        <v/>
      </c>
      <c r="C14" s="56">
        <f>IFERROR(VLOOKUP($B14,Config!$A$29:$C$33,2,FALSE()),"")</f>
        <v/>
      </c>
      <c r="D14" s="57">
        <f>IFERROR(VLOOKUP($B14,Config!$A$29:$C$33,3,FALSE()),"")</f>
        <v/>
      </c>
      <c r="E14" s="57">
        <f>IFERROR(VLOOKUP($A14,Jogadores!$A$3:$C$200,3,FALSE()),"")</f>
        <v/>
      </c>
      <c r="F14" s="57">
        <f>COUNTIFS(Dados!$A$3:$A$600,$A14,Dados!$E$3:$E$600,"&gt;=0")</f>
        <v/>
      </c>
      <c r="G14" s="57">
        <f>SUMIFS(Dados!$E$3:$E$600,Dados!$A$3:$A$600,$A14)</f>
        <v/>
      </c>
      <c r="H14" s="58">
        <f>IFERROR(G14/F14,0)</f>
        <v/>
      </c>
      <c r="I14" s="58">
        <f>IFERROR(AVERAGEIFS(Dados!$F$3:$F$600,Dados!$A$3:$A$600,$A14,Dados!$E$3:$E$600,"&gt;=0"),0)</f>
        <v/>
      </c>
      <c r="J14" s="57">
        <f>COUNTIFS(Dados!$A$3:$A$600,$A14,Dados!$C$3:$C$600,"S",Dados!$D$3:$D$600,"N")</f>
        <v/>
      </c>
      <c r="K14" s="58">
        <f>IFERROR(MIN(1,F14/J14),0)</f>
        <v/>
      </c>
      <c r="L14" s="57">
        <f>SUMIFS(Dados!$G$3:$G$600,Dados!$A$3:$A$600,$A14)</f>
        <v/>
      </c>
      <c r="M14" s="57">
        <f>SUMIFS(Dados!$H$3:$H$600,Dados!$A$3:$A$600,$A14)</f>
        <v/>
      </c>
      <c r="N14" s="59">
        <f>IFERROR(M14/L14,0)</f>
        <v/>
      </c>
      <c r="O14" s="58">
        <f>H14/3*100</f>
        <v/>
      </c>
      <c r="P14" s="58">
        <f>IF(L14=0,100,(1-M14/(3*L14))*100)</f>
        <v/>
      </c>
      <c r="Q14" s="58">
        <f>K14*100</f>
        <v/>
      </c>
      <c r="R14" s="58">
        <f>Config!$B$4*O14+Config!$B$5*P14+Config!$B$6*Q14</f>
        <v/>
      </c>
      <c r="S14" s="59">
        <f>IFERROR(VLOOKUP($D14,Config!$A$12:$B$24,2,FALSE()),1)</f>
        <v/>
      </c>
      <c r="T14" s="60">
        <f>R14*S14</f>
        <v/>
      </c>
      <c r="U14" s="61">
        <f>G14+(3*L14-M14)</f>
        <v/>
      </c>
      <c r="V14" s="57">
        <f>IF($A14="","",SUMPRODUCT(($B$3:$B$19=$B14)*($T$3:$T$19&gt;$T14))+1)</f>
        <v/>
      </c>
      <c r="W14" s="57">
        <f>IF($A14="","",IF($F14&lt;Config!$B$7,"Sem amostra",IF(AND($B14&gt;1,$V14&lt;=Config!$B$8),"⬆ Promoção",IF(AND($B14&lt;5,$V14&gt;COUNTIF($B$3:$B$19,$B14)-Config!$B$8),"⬇ Rebaixamento","—"))))</f>
        <v/>
      </c>
    </row>
    <row r="15" ht="15" customHeight="1" s="29">
      <c r="A15" s="50">
        <f>Jogadores!A15</f>
        <v/>
      </c>
      <c r="B15" s="51">
        <f>IFERROR(VLOOKUP($A15,Jogadores!$A$3:$C$200,2,FALSE()),"")</f>
        <v/>
      </c>
      <c r="C15" s="50">
        <f>IFERROR(VLOOKUP($B15,Config!$A$29:$C$33,2,FALSE()),"")</f>
        <v/>
      </c>
      <c r="D15" s="51">
        <f>IFERROR(VLOOKUP($B15,Config!$A$29:$C$33,3,FALSE()),"")</f>
        <v/>
      </c>
      <c r="E15" s="51">
        <f>IFERROR(VLOOKUP($A15,Jogadores!$A$3:$C$200,3,FALSE()),"")</f>
        <v/>
      </c>
      <c r="F15" s="51">
        <f>COUNTIFS(Dados!$A$3:$A$600,$A15,Dados!$E$3:$E$600,"&gt;=0")</f>
        <v/>
      </c>
      <c r="G15" s="51">
        <f>SUMIFS(Dados!$E$3:$E$600,Dados!$A$3:$A$600,$A15)</f>
        <v/>
      </c>
      <c r="H15" s="52">
        <f>IFERROR(G15/F15,0)</f>
        <v/>
      </c>
      <c r="I15" s="52">
        <f>IFERROR(AVERAGEIFS(Dados!$F$3:$F$600,Dados!$A$3:$A$600,$A15,Dados!$E$3:$E$600,"&gt;=0"),0)</f>
        <v/>
      </c>
      <c r="J15" s="51">
        <f>COUNTIFS(Dados!$A$3:$A$600,$A15,Dados!$C$3:$C$600,"S",Dados!$D$3:$D$600,"N")</f>
        <v/>
      </c>
      <c r="K15" s="52">
        <f>IFERROR(MIN(1,F15/J15),0)</f>
        <v/>
      </c>
      <c r="L15" s="51">
        <f>SUMIFS(Dados!$G$3:$G$600,Dados!$A$3:$A$600,$A15)</f>
        <v/>
      </c>
      <c r="M15" s="51">
        <f>SUMIFS(Dados!$H$3:$H$600,Dados!$A$3:$A$600,$A15)</f>
        <v/>
      </c>
      <c r="N15" s="53">
        <f>IFERROR(M15/L15,0)</f>
        <v/>
      </c>
      <c r="O15" s="52">
        <f>H15/3*100</f>
        <v/>
      </c>
      <c r="P15" s="52">
        <f>IF(L15=0,100,(1-M15/(3*L15))*100)</f>
        <v/>
      </c>
      <c r="Q15" s="52">
        <f>K15*100</f>
        <v/>
      </c>
      <c r="R15" s="52">
        <f>Config!$B$4*O15+Config!$B$5*P15+Config!$B$6*Q15</f>
        <v/>
      </c>
      <c r="S15" s="53">
        <f>IFERROR(VLOOKUP($D15,Config!$A$12:$B$24,2,FALSE()),1)</f>
        <v/>
      </c>
      <c r="T15" s="54">
        <f>R15*S15</f>
        <v/>
      </c>
      <c r="U15" s="55">
        <f>G15+(3*L15-M15)</f>
        <v/>
      </c>
      <c r="V15" s="51">
        <f>IF($A15="","",SUMPRODUCT(($B$3:$B$19=$B15)*($T$3:$T$19&gt;$T15))+1)</f>
        <v/>
      </c>
      <c r="W15" s="51">
        <f>IF($A15="","",IF($F15&lt;Config!$B$7,"Sem amostra",IF(AND($B15&gt;1,$V15&lt;=Config!$B$8),"⬆ Promoção",IF(AND($B15&lt;5,$V15&gt;COUNTIF($B$3:$B$19,$B15)-Config!$B$8),"⬇ Rebaixamento","—"))))</f>
        <v/>
      </c>
    </row>
    <row r="16" ht="15" customHeight="1" s="29">
      <c r="A16" s="56">
        <f>Jogadores!A16</f>
        <v/>
      </c>
      <c r="B16" s="57">
        <f>IFERROR(VLOOKUP($A16,Jogadores!$A$3:$C$200,2,FALSE()),"")</f>
        <v/>
      </c>
      <c r="C16" s="56">
        <f>IFERROR(VLOOKUP($B16,Config!$A$29:$C$33,2,FALSE()),"")</f>
        <v/>
      </c>
      <c r="D16" s="57">
        <f>IFERROR(VLOOKUP($B16,Config!$A$29:$C$33,3,FALSE()),"")</f>
        <v/>
      </c>
      <c r="E16" s="57">
        <f>IFERROR(VLOOKUP($A16,Jogadores!$A$3:$C$200,3,FALSE()),"")</f>
        <v/>
      </c>
      <c r="F16" s="57">
        <f>COUNTIFS(Dados!$A$3:$A$600,$A16,Dados!$E$3:$E$600,"&gt;=0")</f>
        <v/>
      </c>
      <c r="G16" s="57">
        <f>SUMIFS(Dados!$E$3:$E$600,Dados!$A$3:$A$600,$A16)</f>
        <v/>
      </c>
      <c r="H16" s="58">
        <f>IFERROR(G16/F16,0)</f>
        <v/>
      </c>
      <c r="I16" s="58">
        <f>IFERROR(AVERAGEIFS(Dados!$F$3:$F$600,Dados!$A$3:$A$600,$A16,Dados!$E$3:$E$600,"&gt;=0"),0)</f>
        <v/>
      </c>
      <c r="J16" s="57">
        <f>COUNTIFS(Dados!$A$3:$A$600,$A16,Dados!$C$3:$C$600,"S",Dados!$D$3:$D$600,"N")</f>
        <v/>
      </c>
      <c r="K16" s="58">
        <f>IFERROR(MIN(1,F16/J16),0)</f>
        <v/>
      </c>
      <c r="L16" s="57">
        <f>SUMIFS(Dados!$G$3:$G$600,Dados!$A$3:$A$600,$A16)</f>
        <v/>
      </c>
      <c r="M16" s="57">
        <f>SUMIFS(Dados!$H$3:$H$600,Dados!$A$3:$A$600,$A16)</f>
        <v/>
      </c>
      <c r="N16" s="59">
        <f>IFERROR(M16/L16,0)</f>
        <v/>
      </c>
      <c r="O16" s="58">
        <f>H16/3*100</f>
        <v/>
      </c>
      <c r="P16" s="58">
        <f>IF(L16=0,100,(1-M16/(3*L16))*100)</f>
        <v/>
      </c>
      <c r="Q16" s="58">
        <f>K16*100</f>
        <v/>
      </c>
      <c r="R16" s="58">
        <f>Config!$B$4*O16+Config!$B$5*P16+Config!$B$6*Q16</f>
        <v/>
      </c>
      <c r="S16" s="59">
        <f>IFERROR(VLOOKUP($D16,Config!$A$12:$B$24,2,FALSE()),1)</f>
        <v/>
      </c>
      <c r="T16" s="60">
        <f>R16*S16</f>
        <v/>
      </c>
      <c r="U16" s="61">
        <f>G16+(3*L16-M16)</f>
        <v/>
      </c>
      <c r="V16" s="57">
        <f>IF($A16="","",SUMPRODUCT(($B$3:$B$19=$B16)*($T$3:$T$19&gt;$T16))+1)</f>
        <v/>
      </c>
      <c r="W16" s="57">
        <f>IF($A16="","",IF($F16&lt;Config!$B$7,"Sem amostra",IF(AND($B16&gt;1,$V16&lt;=Config!$B$8),"⬆ Promoção",IF(AND($B16&lt;5,$V16&gt;COUNTIF($B$3:$B$19,$B16)-Config!$B$8),"⬇ Rebaixamento","—"))))</f>
        <v/>
      </c>
    </row>
    <row r="17" ht="15" customHeight="1" s="29">
      <c r="A17" s="50">
        <f>Jogadores!A17</f>
        <v/>
      </c>
      <c r="B17" s="51">
        <f>IFERROR(VLOOKUP($A17,Jogadores!$A$3:$C$200,2,FALSE()),"")</f>
        <v/>
      </c>
      <c r="C17" s="50">
        <f>IFERROR(VLOOKUP($B17,Config!$A$29:$C$33,2,FALSE()),"")</f>
        <v/>
      </c>
      <c r="D17" s="51">
        <f>IFERROR(VLOOKUP($B17,Config!$A$29:$C$33,3,FALSE()),"")</f>
        <v/>
      </c>
      <c r="E17" s="51">
        <f>IFERROR(VLOOKUP($A17,Jogadores!$A$3:$C$200,3,FALSE()),"")</f>
        <v/>
      </c>
      <c r="F17" s="51">
        <f>COUNTIFS(Dados!$A$3:$A$600,$A17,Dados!$E$3:$E$600,"&gt;=0")</f>
        <v/>
      </c>
      <c r="G17" s="51">
        <f>SUMIFS(Dados!$E$3:$E$600,Dados!$A$3:$A$600,$A17)</f>
        <v/>
      </c>
      <c r="H17" s="52">
        <f>IFERROR(G17/F17,0)</f>
        <v/>
      </c>
      <c r="I17" s="52">
        <f>IFERROR(AVERAGEIFS(Dados!$F$3:$F$600,Dados!$A$3:$A$600,$A17,Dados!$E$3:$E$600,"&gt;=0"),0)</f>
        <v/>
      </c>
      <c r="J17" s="51">
        <f>COUNTIFS(Dados!$A$3:$A$600,$A17,Dados!$C$3:$C$600,"S",Dados!$D$3:$D$600,"N")</f>
        <v/>
      </c>
      <c r="K17" s="52">
        <f>IFERROR(MIN(1,F17/J17),0)</f>
        <v/>
      </c>
      <c r="L17" s="51">
        <f>SUMIFS(Dados!$G$3:$G$600,Dados!$A$3:$A$600,$A17)</f>
        <v/>
      </c>
      <c r="M17" s="51">
        <f>SUMIFS(Dados!$H$3:$H$600,Dados!$A$3:$A$600,$A17)</f>
        <v/>
      </c>
      <c r="N17" s="53">
        <f>IFERROR(M17/L17,0)</f>
        <v/>
      </c>
      <c r="O17" s="52">
        <f>H17/3*100</f>
        <v/>
      </c>
      <c r="P17" s="52">
        <f>IF(L17=0,100,(1-M17/(3*L17))*100)</f>
        <v/>
      </c>
      <c r="Q17" s="52">
        <f>K17*100</f>
        <v/>
      </c>
      <c r="R17" s="52">
        <f>Config!$B$4*O17+Config!$B$5*P17+Config!$B$6*Q17</f>
        <v/>
      </c>
      <c r="S17" s="53">
        <f>IFERROR(VLOOKUP($D17,Config!$A$12:$B$24,2,FALSE()),1)</f>
        <v/>
      </c>
      <c r="T17" s="54">
        <f>R17*S17</f>
        <v/>
      </c>
      <c r="U17" s="55">
        <f>G17+(3*L17-M17)</f>
        <v/>
      </c>
      <c r="V17" s="51">
        <f>IF($A17="","",SUMPRODUCT(($B$3:$B$19=$B17)*($T$3:$T$19&gt;$T17))+1)</f>
        <v/>
      </c>
      <c r="W17" s="51">
        <f>IF($A17="","",IF($F17&lt;Config!$B$7,"Sem amostra",IF(AND($B17&gt;1,$V17&lt;=Config!$B$8),"⬆ Promoção",IF(AND($B17&lt;5,$V17&gt;COUNTIF($B$3:$B$19,$B17)-Config!$B$8),"⬇ Rebaixamento","—"))))</f>
        <v/>
      </c>
    </row>
    <row r="18" ht="15" customHeight="1" s="29">
      <c r="A18" s="56">
        <f>Jogadores!A18</f>
        <v/>
      </c>
      <c r="B18" s="57">
        <f>IFERROR(VLOOKUP($A18,Jogadores!$A$3:$C$200,2,FALSE()),"")</f>
        <v/>
      </c>
      <c r="C18" s="56">
        <f>IFERROR(VLOOKUP($B18,Config!$A$29:$C$33,2,FALSE()),"")</f>
        <v/>
      </c>
      <c r="D18" s="57">
        <f>IFERROR(VLOOKUP($B18,Config!$A$29:$C$33,3,FALSE()),"")</f>
        <v/>
      </c>
      <c r="E18" s="57">
        <f>IFERROR(VLOOKUP($A18,Jogadores!$A$3:$C$200,3,FALSE()),"")</f>
        <v/>
      </c>
      <c r="F18" s="57">
        <f>COUNTIFS(Dados!$A$3:$A$600,$A18,Dados!$E$3:$E$600,"&gt;=0")</f>
        <v/>
      </c>
      <c r="G18" s="57">
        <f>SUMIFS(Dados!$E$3:$E$600,Dados!$A$3:$A$600,$A18)</f>
        <v/>
      </c>
      <c r="H18" s="58">
        <f>IFERROR(G18/F18,0)</f>
        <v/>
      </c>
      <c r="I18" s="58">
        <f>IFERROR(AVERAGEIFS(Dados!$F$3:$F$600,Dados!$A$3:$A$600,$A18,Dados!$E$3:$E$600,"&gt;=0"),0)</f>
        <v/>
      </c>
      <c r="J18" s="57">
        <f>COUNTIFS(Dados!$A$3:$A$600,$A18,Dados!$C$3:$C$600,"S",Dados!$D$3:$D$600,"N")</f>
        <v/>
      </c>
      <c r="K18" s="58">
        <f>IFERROR(MIN(1,F18/J18),0)</f>
        <v/>
      </c>
      <c r="L18" s="57">
        <f>SUMIFS(Dados!$G$3:$G$600,Dados!$A$3:$A$600,$A18)</f>
        <v/>
      </c>
      <c r="M18" s="57">
        <f>SUMIFS(Dados!$H$3:$H$600,Dados!$A$3:$A$600,$A18)</f>
        <v/>
      </c>
      <c r="N18" s="59">
        <f>IFERROR(M18/L18,0)</f>
        <v/>
      </c>
      <c r="O18" s="58">
        <f>H18/3*100</f>
        <v/>
      </c>
      <c r="P18" s="58">
        <f>IF(L18=0,100,(1-M18/(3*L18))*100)</f>
        <v/>
      </c>
      <c r="Q18" s="58">
        <f>K18*100</f>
        <v/>
      </c>
      <c r="R18" s="58">
        <f>Config!$B$4*O18+Config!$B$5*P18+Config!$B$6*Q18</f>
        <v/>
      </c>
      <c r="S18" s="59">
        <f>IFERROR(VLOOKUP($D18,Config!$A$12:$B$24,2,FALSE()),1)</f>
        <v/>
      </c>
      <c r="T18" s="60">
        <f>R18*S18</f>
        <v/>
      </c>
      <c r="U18" s="61">
        <f>G18+(3*L18-M18)</f>
        <v/>
      </c>
      <c r="V18" s="57">
        <f>IF($A18="","",SUMPRODUCT(($B$3:$B$19=$B18)*($T$3:$T$19&gt;$T18))+1)</f>
        <v/>
      </c>
      <c r="W18" s="57">
        <f>IF($A18="","",IF($F18&lt;Config!$B$7,"Sem amostra",IF(AND($B18&gt;1,$V18&lt;=Config!$B$8),"⬆ Promoção",IF(AND($B18&lt;5,$V18&gt;COUNTIF($B$3:$B$19,$B18)-Config!$B$8),"⬇ Rebaixamento","—"))))</f>
        <v/>
      </c>
    </row>
    <row r="19" ht="15" customHeight="1" s="29">
      <c r="A19" s="50">
        <f>Jogadores!A19</f>
        <v/>
      </c>
      <c r="B19" s="51">
        <f>IFERROR(VLOOKUP($A19,Jogadores!$A$3:$C$200,2,FALSE()),"")</f>
        <v/>
      </c>
      <c r="C19" s="50">
        <f>IFERROR(VLOOKUP($B19,Config!$A$29:$C$33,2,FALSE()),"")</f>
        <v/>
      </c>
      <c r="D19" s="51">
        <f>IFERROR(VLOOKUP($B19,Config!$A$29:$C$33,3,FALSE()),"")</f>
        <v/>
      </c>
      <c r="E19" s="51">
        <f>IFERROR(VLOOKUP($A19,Jogadores!$A$3:$C$200,3,FALSE()),"")</f>
        <v/>
      </c>
      <c r="F19" s="51">
        <f>COUNTIFS(Dados!$A$3:$A$600,$A19,Dados!$E$3:$E$600,"&gt;=0")</f>
        <v/>
      </c>
      <c r="G19" s="51">
        <f>SUMIFS(Dados!$E$3:$E$600,Dados!$A$3:$A$600,$A19)</f>
        <v/>
      </c>
      <c r="H19" s="52">
        <f>IFERROR(G19/F19,0)</f>
        <v/>
      </c>
      <c r="I19" s="52">
        <f>IFERROR(AVERAGEIFS(Dados!$F$3:$F$600,Dados!$A$3:$A$600,$A19,Dados!$E$3:$E$600,"&gt;=0"),0)</f>
        <v/>
      </c>
      <c r="J19" s="51">
        <f>COUNTIFS(Dados!$A$3:$A$600,$A19,Dados!$C$3:$C$600,"S",Dados!$D$3:$D$600,"N")</f>
        <v/>
      </c>
      <c r="K19" s="52">
        <f>IFERROR(MIN(1,F19/J19),0)</f>
        <v/>
      </c>
      <c r="L19" s="51">
        <f>SUMIFS(Dados!$G$3:$G$600,Dados!$A$3:$A$600,$A19)</f>
        <v/>
      </c>
      <c r="M19" s="51">
        <f>SUMIFS(Dados!$H$3:$H$600,Dados!$A$3:$A$600,$A19)</f>
        <v/>
      </c>
      <c r="N19" s="53">
        <f>IFERROR(M19/L19,0)</f>
        <v/>
      </c>
      <c r="O19" s="52">
        <f>H19/3*100</f>
        <v/>
      </c>
      <c r="P19" s="52">
        <f>IF(L19=0,100,(1-M19/(3*L19))*100)</f>
        <v/>
      </c>
      <c r="Q19" s="52">
        <f>K19*100</f>
        <v/>
      </c>
      <c r="R19" s="52">
        <f>Config!$B$4*O19+Config!$B$5*P19+Config!$B$6*Q19</f>
        <v/>
      </c>
      <c r="S19" s="53">
        <f>IFERROR(VLOOKUP($D19,Config!$A$12:$B$24,2,FALSE()),1)</f>
        <v/>
      </c>
      <c r="T19" s="54">
        <f>R19*S19</f>
        <v/>
      </c>
      <c r="U19" s="55">
        <f>G19+(3*L19-M19)</f>
        <v/>
      </c>
      <c r="V19" s="51">
        <f>IF($A19="","",SUMPRODUCT(($B$3:$B$19=$B19)*($T$3:$T$19&gt;$T19))+1)</f>
        <v/>
      </c>
      <c r="W19" s="51">
        <f>IF($A19="","",IF($F19&lt;Config!$B$7,"Sem amostra",IF(AND($B19&gt;1,$V19&lt;=Config!$B$8),"⬆ Promoção",IF(AND($B19&lt;5,$V19&gt;COUNTIF($B$3:$B$19,$B19)-Config!$B$8),"⬇ Rebaixamento","—"))))</f>
        <v/>
      </c>
    </row>
  </sheetData>
  <mergeCells count="1">
    <mergeCell ref="A1:W1"/>
  </mergeCells>
  <conditionalFormatting sqref="W3:W19">
    <cfRule type="cellIs" rank="0" priority="2" equalAverage="0" operator="equal" aboveAverage="0" dxfId="0" text="" percent="0" bottom="0">
      <formula>"⬆ Promoção"</formula>
    </cfRule>
    <cfRule type="cellIs" rank="0" priority="3" equalAverage="0" operator="equal" aboveAverage="0" dxfId="1" text="" percent="0" bottom="0">
      <formula>"⬇ Rebaixamento"</formula>
    </cfRule>
  </conditionalFormatting>
  <conditionalFormatting sqref="T3:T19">
    <cfRule type="colorScale" priority="4">
      <colorScale>
        <cfvo type="min" val="0"/>
        <cfvo type="percentile" val="50"/>
        <cfvo type="max" val="0"/>
        <color rgb="FFB23A48"/>
        <color rgb="FFE8B94A"/>
        <color rgb="FF1E7F4F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2026-07-01T00:23:13Z</dcterms:created>
  <dcterms:modified xmlns:dcterms="http://purl.org/dc/terms/" xmlns:xsi="http://www.w3.org/2001/XMLSchema-instance" xsi:type="dcterms:W3CDTF">2026-07-02T20:25:27Z</dcterms:modified>
  <cp:revision>0</cp:revision>
</cp:coreProperties>
</file>