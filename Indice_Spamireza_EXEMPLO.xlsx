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Config" sheetId="2" state="visible" r:id="rId4"/>
    <sheet name="Jogadores" sheetId="3" state="visible" r:id="rId5"/>
    <sheet name="Dados" sheetId="4" state="visible" r:id="rId6"/>
    <sheet name="Ranking Ger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<sst xmlns="http://schemas.openxmlformats.org/spreadsheetml/2006/main" count="644" uniqueCount="111">
  <si>
    <t xml:space="preserve">ÍNDICE SPAMIREZA — COMO USAR</t>
  </si>
  <si>
    <t xml:space="preserve">1. Config</t>
  </si>
  <si>
    <t xml:space="preserve">Ajuste os pesos, o multiplicador de cada liga e diga em qual liga cada clã está nesta temporada.</t>
  </si>
  <si>
    <t xml:space="preserve">2. Jogadores</t>
  </si>
  <si>
    <t xml:space="preserve">Liste cada jogador uma vez: nome, clã (1 a 5) e nível de TH.</t>
  </si>
  <si>
    <t xml:space="preserve">3. Dados</t>
  </si>
  <si>
    <t xml:space="preserve">Uma linha por jogador por guerra (7 guerras). Preencha estrelas só se atacou; deixe em branco se não atacou.</t>
  </si>
  <si>
    <t xml:space="preserve">   → Substituído</t>
  </si>
  <si>
    <t xml:space="preserve">Se o jogador foi TIRADO da line antes de atacar, marque 'Substituído = S'. Isso NÃO conta contra ele.</t>
  </si>
  <si>
    <t xml:space="preserve">   → Faltou</t>
  </si>
  <si>
    <t xml:space="preserve">Se ficou escalado e simplesmente não usou o ataque, deixe 'Substituído = N' e estrelas em branco. Isso DERRUBA a confiabilidade.</t>
  </si>
  <si>
    <t xml:space="preserve">4. Ranking Geral</t>
  </si>
  <si>
    <t xml:space="preserve">Calcula sozinho: Índice ajustado (decide subir/descer), MVP e zonas de promoção/rebaixamento por clã.</t>
  </si>
  <si>
    <t xml:space="preserve">Como pontua</t>
  </si>
  <si>
    <t xml:space="preserve">Índice = 55% ataque (★/ataque) + 20% defesa + 25% confiabilidade, multiplicado pela dificuldade da liga.</t>
  </si>
  <si>
    <t xml:space="preserve">MVP</t>
  </si>
  <si>
    <t xml:space="preserve">Maior (estrelas de ataque + estrelas negadas na defesa) na liga atual.</t>
  </si>
  <si>
    <t xml:space="preserve">Adicionar jogador</t>
  </si>
  <si>
    <t xml:space="preserve">Insira a linha em 'Jogadores' e copie uma linha inteira do 'Ranking Geral' para baixo — as fórmulas se ajustam.</t>
  </si>
  <si>
    <t xml:space="preserve">CONFIGURAÇÃO — ÍNDICE SPAMIREZA</t>
  </si>
  <si>
    <t xml:space="preserve">PESOS DO ÍNDICE</t>
  </si>
  <si>
    <t xml:space="preserve">Peso Ataque</t>
  </si>
  <si>
    <t xml:space="preserve">Peso Defesa</t>
  </si>
  <si>
    <t xml:space="preserve">Peso Confiabilidade</t>
  </si>
  <si>
    <t xml:space="preserve">Piso de ataques (elegibilidade)</t>
  </si>
  <si>
    <t xml:space="preserve">Nº promovidos/rebaixados por clã</t>
  </si>
  <si>
    <t xml:space="preserve">MULTIPLICADOR DE LIGA</t>
  </si>
  <si>
    <t xml:space="preserve">Liga</t>
  </si>
  <si>
    <t xml:space="preserve">Multiplicador</t>
  </si>
  <si>
    <t xml:space="preserve">Champion I</t>
  </si>
  <si>
    <t xml:space="preserve">Champion II</t>
  </si>
  <si>
    <t xml:space="preserve">Champion III</t>
  </si>
  <si>
    <t xml:space="preserve">Master I</t>
  </si>
  <si>
    <t xml:space="preserve">Master II</t>
  </si>
  <si>
    <t xml:space="preserve">Master III</t>
  </si>
  <si>
    <t xml:space="preserve">Crystal I</t>
  </si>
  <si>
    <t xml:space="preserve">Crystal II</t>
  </si>
  <si>
    <t xml:space="preserve">Crystal III</t>
  </si>
  <si>
    <t xml:space="preserve">Gold I</t>
  </si>
  <si>
    <t xml:space="preserve">Gold II</t>
  </si>
  <si>
    <t xml:space="preserve">Gold III</t>
  </si>
  <si>
    <t xml:space="preserve">Prata ou abaixo</t>
  </si>
  <si>
    <t xml:space="preserve">CLÃS DESTA TEMPORADA</t>
  </si>
  <si>
    <t xml:space="preserve">Clã</t>
  </si>
  <si>
    <t xml:space="preserve">Nome</t>
  </si>
  <si>
    <t xml:space="preserve">Liga atual</t>
  </si>
  <si>
    <t xml:space="preserve">SpamiReza</t>
  </si>
  <si>
    <t xml:space="preserve">RezaSpamandu</t>
  </si>
  <si>
    <t xml:space="preserve">ScamiReza</t>
  </si>
  <si>
    <t xml:space="preserve">RezaScamandu</t>
  </si>
  <si>
    <t xml:space="preserve">e-SpamiReza</t>
  </si>
  <si>
    <t xml:space="preserve">JOGADORES</t>
  </si>
  <si>
    <t xml:space="preserve">Jogador</t>
  </si>
  <si>
    <t xml:space="preserve">Clã (1-5)</t>
  </si>
  <si>
    <t xml:space="preserve">TH</t>
  </si>
  <si>
    <t xml:space="preserve">Lippe</t>
  </si>
  <si>
    <t xml:space="preserve">Bruno</t>
  </si>
  <si>
    <t xml:space="preserve">Kaio</t>
  </si>
  <si>
    <t xml:space="preserve">Duda</t>
  </si>
  <si>
    <t xml:space="preserve">Titi</t>
  </si>
  <si>
    <t xml:space="preserve">Renan</t>
  </si>
  <si>
    <t xml:space="preserve">Gustavo</t>
  </si>
  <si>
    <t xml:space="preserve">Léo</t>
  </si>
  <si>
    <t xml:space="preserve">Mari</t>
  </si>
  <si>
    <t xml:space="preserve">Zé</t>
  </si>
  <si>
    <t xml:space="preserve">Pedro</t>
  </si>
  <si>
    <t xml:space="preserve">Nanda</t>
  </si>
  <si>
    <t xml:space="preserve">Rafa</t>
  </si>
  <si>
    <t xml:space="preserve">Vini</t>
  </si>
  <si>
    <t xml:space="preserve">Bia</t>
  </si>
  <si>
    <t xml:space="preserve">Caio</t>
  </si>
  <si>
    <t xml:space="preserve">Lu</t>
  </si>
  <si>
    <t xml:space="preserve">Tom</t>
  </si>
  <si>
    <t xml:space="preserve">Sofia</t>
  </si>
  <si>
    <t xml:space="preserve">Igor</t>
  </si>
  <si>
    <t xml:space="preserve">Dani</t>
  </si>
  <si>
    <t xml:space="preserve">Well</t>
  </si>
  <si>
    <t xml:space="preserve">Aline</t>
  </si>
  <si>
    <t xml:space="preserve">Rod</t>
  </si>
  <si>
    <t xml:space="preserve">Nino</t>
  </si>
  <si>
    <t xml:space="preserve">DADOS DA LIGA — 1 linha por jogador por guerra</t>
  </si>
  <si>
    <t xml:space="preserve">Guerra</t>
  </si>
  <si>
    <t xml:space="preserve">Escalado (S/N)</t>
  </si>
  <si>
    <t xml:space="preserve">Substituído antes de atacar (S/N)</t>
  </si>
  <si>
    <t xml:space="preserve">Estrelas (0-3)</t>
  </si>
  <si>
    <t xml:space="preserve">Destruição %</t>
  </si>
  <si>
    <t xml:space="preserve">Nº Defesas</t>
  </si>
  <si>
    <t xml:space="preserve">Estrelas sofridas</t>
  </si>
  <si>
    <t xml:space="preserve">Destruição sofrida %</t>
  </si>
  <si>
    <t xml:space="preserve">S</t>
  </si>
  <si>
    <t xml:space="preserve">N</t>
  </si>
  <si>
    <t xml:space="preserve">RANKING GERAL — ÍNDICE SPAMIREZA</t>
  </si>
  <si>
    <t xml:space="preserve">Clã (nome)</t>
  </si>
  <si>
    <t xml:space="preserve">Ataques</t>
  </si>
  <si>
    <t xml:space="preserve">Total ★</t>
  </si>
  <si>
    <t xml:space="preserve">★/ataque</t>
  </si>
  <si>
    <t xml:space="preserve">Destr. média %</t>
  </si>
  <si>
    <t xml:space="preserve">Oportun.</t>
  </si>
  <si>
    <t xml:space="preserve">Confiab. %</t>
  </si>
  <si>
    <t xml:space="preserve">Total def.</t>
  </si>
  <si>
    <t xml:space="preserve">★ sofridas</t>
  </si>
  <si>
    <t xml:space="preserve">★ sofr./def</t>
  </si>
  <si>
    <t xml:space="preserve">Nota Ataque</t>
  </si>
  <si>
    <t xml:space="preserve">Nota Defesa</t>
  </si>
  <si>
    <t xml:space="preserve">Nota Confiab</t>
  </si>
  <si>
    <t xml:space="preserve">Índice bruto</t>
  </si>
  <si>
    <t xml:space="preserve">Multipl.</t>
  </si>
  <si>
    <t xml:space="preserve">ÍNDICE AJUST.</t>
  </si>
  <si>
    <t xml:space="preserve">MVP score</t>
  </si>
  <si>
    <t xml:space="preserve">Rank clã</t>
  </si>
  <si>
    <t xml:space="preserve">Zona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</si>
</sst>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8B94A"/>
      <name val="Arial"/>
      <family val="0"/>
      <charset val="1"/>
    </font>
    <font>
      <b val="true"/>
      <sz val="10"/>
      <color rgb="FFE8B94A"/>
      <name val="Arial"/>
      <family val="0"/>
      <charset val="1"/>
    </font>
    <font>
      <sz val="10"/>
      <color rgb="FF12263A"/>
      <name val="Arial"/>
      <family val="0"/>
      <charset val="1"/>
    </font>
    <font>
      <b val="true"/>
      <sz val="14"/>
      <color rgb="FFE8B94A"/>
      <name val="Arial"/>
      <family val="0"/>
      <charset val="1"/>
    </font>
    <font>
      <b val="true"/>
      <sz val="10"/>
      <color rgb="FFEAF0F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E8B94A"/>
      <name val="Arial"/>
      <family val="0"/>
      <charset val="1"/>
    </font>
    <font>
      <b val="true"/>
      <sz val="12"/>
      <color rgb="FFE8B94A"/>
      <name val="Arial"/>
      <family val="0"/>
      <charset val="1"/>
    </font>
    <font>
      <sz val="9"/>
      <color rgb="FFEAF0F7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2545"/>
        <bgColor rgb="FF12263A"/>
      </patternFill>
    </fill>
    <fill>
      <patternFill patternType="solid">
        <fgColor rgb="FF13315C"/>
        <bgColor rgb="FF0B2545"/>
      </patternFill>
    </fill>
    <fill>
      <patternFill patternType="solid">
        <fgColor rgb="FFFFF7DD"/>
        <bgColor rgb="FFFFFFFF"/>
      </patternFill>
    </fill>
    <fill>
      <patternFill patternType="solid">
        <fgColor rgb="FF1B4571"/>
        <bgColor rgb="FF2A4A7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4A73"/>
      </left>
      <right/>
      <top style="thin">
        <color rgb="FF2A4A73"/>
      </top>
      <bottom style="thin">
        <color rgb="FF2A4A73"/>
      </bottom>
      <diagonal/>
    </border>
    <border diagonalUp="false" diagonalDown="false">
      <left style="thin">
        <color rgb="FF2A4A73"/>
      </left>
      <right style="thin">
        <color rgb="FF2A4A73"/>
      </right>
      <top style="thin">
        <color rgb="FF2A4A73"/>
      </top>
      <bottom style="thin">
        <color rgb="FF2A4A7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</font>
      <fill>
        <patternFill>
          <bgColor rgb="FF1E7F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23A4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F4F"/>
      <rgbColor rgb="FFC0C0C0"/>
      <rgbColor rgb="FF808080"/>
      <rgbColor rgb="FF9999FF"/>
      <rgbColor rgb="FFB23A48"/>
      <rgbColor rgb="FFFFF7DD"/>
      <rgbColor rgb="FFEA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94A"/>
      <rgbColor rgb="FFFF9900"/>
      <rgbColor rgb="FFFF6600"/>
      <rgbColor rgb="FF666699"/>
      <rgbColor rgb="FF969696"/>
      <rgbColor rgb="FF13315C"/>
      <rgbColor rgb="FF339966"/>
      <rgbColor rgb="FF0B2545"/>
      <rgbColor rgb="FF1B4571"/>
      <rgbColor rgb="FF993300"/>
      <rgbColor rgb="FF993366"/>
      <rgbColor rgb="FF2A4A73"/>
      <rgbColor rgb="FF1226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0</v>
      </c>
      <c r="B1" s="1"/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30" hidden="false" customHeight="true" outlineLevel="0" collapsed="false">
      <c r="A5" s="2" t="s">
        <v>5</v>
      </c>
      <c r="B5" s="3" t="s">
        <v>6</v>
      </c>
    </row>
    <row r="6" customFormat="false" ht="30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30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30" hidden="false" customHeight="true" outlineLevel="0" collapsed="false">
      <c r="A10" s="2" t="s">
        <v>15</v>
      </c>
      <c r="B10" s="3" t="s">
        <v>16</v>
      </c>
    </row>
    <row r="11" customFormat="false" ht="30" hidden="false" customHeight="true" outlineLevel="0" collapsed="false">
      <c r="A11" s="2" t="s">
        <v>17</v>
      </c>
      <c r="B11" s="3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25.5" hidden="false" customHeight="true" outlineLevel="0" collapsed="false">
      <c r="A1" s="4" t="s">
        <v>19</v>
      </c>
      <c r="B1" s="4"/>
      <c r="C1" s="4"/>
    </row>
    <row r="3" customFormat="false" ht="15" hidden="false" customHeight="true" outlineLevel="0" collapsed="false">
      <c r="A3" s="5" t="s">
        <v>20</v>
      </c>
      <c r="B3" s="5"/>
      <c r="C3" s="5"/>
    </row>
    <row r="4" customFormat="false" ht="15" hidden="false" customHeight="false" outlineLevel="0" collapsed="false">
      <c r="A4" s="6" t="s">
        <v>21</v>
      </c>
      <c r="B4" s="7" t="n">
        <v>0.55</v>
      </c>
    </row>
    <row r="5" customFormat="false" ht="15" hidden="false" customHeight="false" outlineLevel="0" collapsed="false">
      <c r="A5" s="6" t="s">
        <v>22</v>
      </c>
      <c r="B5" s="7" t="n">
        <v>0.2</v>
      </c>
    </row>
    <row r="6" customFormat="false" ht="15" hidden="false" customHeight="false" outlineLevel="0" collapsed="false">
      <c r="A6" s="6" t="s">
        <v>23</v>
      </c>
      <c r="B6" s="7" t="n">
        <v>0.25</v>
      </c>
    </row>
    <row r="7" customFormat="false" ht="15" hidden="false" customHeight="false" outlineLevel="0" collapsed="false">
      <c r="A7" s="6" t="s">
        <v>24</v>
      </c>
      <c r="B7" s="7" t="n">
        <v>3</v>
      </c>
    </row>
    <row r="8" customFormat="false" ht="15" hidden="false" customHeight="false" outlineLevel="0" collapsed="false">
      <c r="A8" s="6" t="s">
        <v>25</v>
      </c>
      <c r="B8" s="7" t="n">
        <v>2</v>
      </c>
    </row>
    <row r="10" customFormat="false" ht="15" hidden="false" customHeight="true" outlineLevel="0" collapsed="false">
      <c r="A10" s="5" t="s">
        <v>26</v>
      </c>
      <c r="B10" s="5"/>
    </row>
    <row r="11" customFormat="false" ht="15" hidden="false" customHeight="false" outlineLevel="0" collapsed="false">
      <c r="A11" s="8" t="s">
        <v>27</v>
      </c>
      <c r="B11" s="8" t="s">
        <v>28</v>
      </c>
    </row>
    <row r="12" customFormat="false" ht="15" hidden="false" customHeight="false" outlineLevel="0" collapsed="false">
      <c r="A12" s="6" t="s">
        <v>29</v>
      </c>
      <c r="B12" s="9" t="n">
        <v>1</v>
      </c>
    </row>
    <row r="13" customFormat="false" ht="15" hidden="false" customHeight="false" outlineLevel="0" collapsed="false">
      <c r="A13" s="6" t="s">
        <v>30</v>
      </c>
      <c r="B13" s="9" t="n">
        <v>0.98</v>
      </c>
    </row>
    <row r="14" customFormat="false" ht="15" hidden="false" customHeight="false" outlineLevel="0" collapsed="false">
      <c r="A14" s="6" t="s">
        <v>31</v>
      </c>
      <c r="B14" s="9" t="n">
        <v>0.96</v>
      </c>
    </row>
    <row r="15" customFormat="false" ht="15" hidden="false" customHeight="false" outlineLevel="0" collapsed="false">
      <c r="A15" s="6" t="s">
        <v>32</v>
      </c>
      <c r="B15" s="9" t="n">
        <v>0.93</v>
      </c>
    </row>
    <row r="16" customFormat="false" ht="15" hidden="false" customHeight="false" outlineLevel="0" collapsed="false">
      <c r="A16" s="6" t="s">
        <v>33</v>
      </c>
      <c r="B16" s="9" t="n">
        <v>0.9</v>
      </c>
    </row>
    <row r="17" customFormat="false" ht="15" hidden="false" customHeight="false" outlineLevel="0" collapsed="false">
      <c r="A17" s="6" t="s">
        <v>34</v>
      </c>
      <c r="B17" s="9" t="n">
        <v>0.87</v>
      </c>
    </row>
    <row r="18" customFormat="false" ht="15" hidden="false" customHeight="false" outlineLevel="0" collapsed="false">
      <c r="A18" s="6" t="s">
        <v>35</v>
      </c>
      <c r="B18" s="9" t="n">
        <v>0.83</v>
      </c>
    </row>
    <row r="19" customFormat="false" ht="15" hidden="false" customHeight="false" outlineLevel="0" collapsed="false">
      <c r="A19" s="6" t="s">
        <v>36</v>
      </c>
      <c r="B19" s="9" t="n">
        <v>0.8</v>
      </c>
    </row>
    <row r="20" customFormat="false" ht="15" hidden="false" customHeight="false" outlineLevel="0" collapsed="false">
      <c r="A20" s="6" t="s">
        <v>37</v>
      </c>
      <c r="B20" s="9" t="n">
        <v>0.77</v>
      </c>
    </row>
    <row r="21" customFormat="false" ht="15" hidden="false" customHeight="false" outlineLevel="0" collapsed="false">
      <c r="A21" s="6" t="s">
        <v>38</v>
      </c>
      <c r="B21" s="9" t="n">
        <v>0.72</v>
      </c>
    </row>
    <row r="22" customFormat="false" ht="15" hidden="false" customHeight="false" outlineLevel="0" collapsed="false">
      <c r="A22" s="6" t="s">
        <v>39</v>
      </c>
      <c r="B22" s="9" t="n">
        <v>0.69</v>
      </c>
    </row>
    <row r="23" customFormat="false" ht="15" hidden="false" customHeight="false" outlineLevel="0" collapsed="false">
      <c r="A23" s="6" t="s">
        <v>40</v>
      </c>
      <c r="B23" s="9" t="n">
        <v>0.66</v>
      </c>
    </row>
    <row r="24" customFormat="false" ht="15" hidden="false" customHeight="false" outlineLevel="0" collapsed="false">
      <c r="A24" s="6" t="s">
        <v>41</v>
      </c>
      <c r="B24" s="9" t="n">
        <v>0.6</v>
      </c>
    </row>
    <row r="27" customFormat="false" ht="15" hidden="false" customHeight="true" outlineLevel="0" collapsed="false">
      <c r="A27" s="5" t="s">
        <v>42</v>
      </c>
      <c r="B27" s="5"/>
      <c r="C27" s="5"/>
    </row>
    <row r="28" customFormat="false" ht="15" hidden="false" customHeight="false" outlineLevel="0" collapsed="false">
      <c r="A28" s="8" t="s">
        <v>43</v>
      </c>
      <c r="B28" s="8" t="s">
        <v>44</v>
      </c>
      <c r="C28" s="8" t="s">
        <v>45</v>
      </c>
    </row>
    <row r="29" customFormat="false" ht="15" hidden="false" customHeight="false" outlineLevel="0" collapsed="false">
      <c r="A29" s="10" t="n">
        <v>1</v>
      </c>
      <c r="B29" s="6" t="s">
        <v>46</v>
      </c>
      <c r="C29" s="11" t="s">
        <v>29</v>
      </c>
    </row>
    <row r="30" customFormat="false" ht="15" hidden="false" customHeight="false" outlineLevel="0" collapsed="false">
      <c r="A30" s="10" t="n">
        <v>2</v>
      </c>
      <c r="B30" s="6" t="s">
        <v>47</v>
      </c>
      <c r="C30" s="11" t="s">
        <v>31</v>
      </c>
    </row>
    <row r="31" customFormat="false" ht="15" hidden="false" customHeight="false" outlineLevel="0" collapsed="false">
      <c r="A31" s="10" t="n">
        <v>3</v>
      </c>
      <c r="B31" s="6" t="s">
        <v>48</v>
      </c>
      <c r="C31" s="11" t="s">
        <v>32</v>
      </c>
    </row>
    <row r="32" customFormat="false" ht="15" hidden="false" customHeight="false" outlineLevel="0" collapsed="false">
      <c r="A32" s="10" t="n">
        <v>4</v>
      </c>
      <c r="B32" s="6" t="s">
        <v>49</v>
      </c>
      <c r="C32" s="11" t="s">
        <v>34</v>
      </c>
    </row>
    <row r="33" customFormat="false" ht="15" hidden="false" customHeight="false" outlineLevel="0" collapsed="false">
      <c r="A33" s="10" t="n">
        <v>5</v>
      </c>
      <c r="B33" s="6" t="s">
        <v>50</v>
      </c>
      <c r="C33" s="11" t="s">
        <v>35</v>
      </c>
    </row>
  </sheetData>
  <mergeCells count="4">
    <mergeCell ref="A1:C1"/>
    <mergeCell ref="A3:C3"/>
    <mergeCell ref="A10:B10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8"/>
  </cols>
  <sheetData>
    <row r="1" customFormat="false" ht="16.15" hidden="false" customHeight="true" outlineLevel="0" collapsed="false">
      <c r="A1" s="12" t="s">
        <v>51</v>
      </c>
      <c r="B1" s="12"/>
      <c r="C1" s="12"/>
    </row>
    <row r="2" customFormat="false" ht="15" hidden="false" customHeight="false" outlineLevel="0" collapsed="false">
      <c r="A2" s="8" t="s">
        <v>52</v>
      </c>
      <c r="B2" s="8" t="s">
        <v>53</v>
      </c>
      <c r="C2" s="8" t="s">
        <v>54</v>
      </c>
    </row>
    <row r="3" customFormat="false" ht="15" hidden="false" customHeight="false" outlineLevel="0" collapsed="false">
      <c r="A3" s="6" t="s">
        <v>55</v>
      </c>
      <c r="B3" s="10" t="n">
        <v>1</v>
      </c>
      <c r="C3" s="10" t="n">
        <v>16</v>
      </c>
    </row>
    <row r="4" customFormat="false" ht="15" hidden="false" customHeight="false" outlineLevel="0" collapsed="false">
      <c r="A4" s="6" t="s">
        <v>56</v>
      </c>
      <c r="B4" s="10" t="n">
        <v>1</v>
      </c>
      <c r="C4" s="10" t="n">
        <v>16</v>
      </c>
    </row>
    <row r="5" customFormat="false" ht="15" hidden="false" customHeight="false" outlineLevel="0" collapsed="false">
      <c r="A5" s="6" t="s">
        <v>57</v>
      </c>
      <c r="B5" s="10" t="n">
        <v>1</v>
      </c>
      <c r="C5" s="10" t="n">
        <v>15</v>
      </c>
    </row>
    <row r="6" customFormat="false" ht="15" hidden="false" customHeight="false" outlineLevel="0" collapsed="false">
      <c r="A6" s="6" t="s">
        <v>58</v>
      </c>
      <c r="B6" s="10" t="n">
        <v>1</v>
      </c>
      <c r="C6" s="10" t="n">
        <v>16</v>
      </c>
    </row>
    <row r="7" customFormat="false" ht="15" hidden="false" customHeight="false" outlineLevel="0" collapsed="false">
      <c r="A7" s="6" t="s">
        <v>59</v>
      </c>
      <c r="B7" s="10" t="n">
        <v>1</v>
      </c>
      <c r="C7" s="10" t="n">
        <v>15</v>
      </c>
    </row>
    <row r="8" customFormat="false" ht="15" hidden="false" customHeight="false" outlineLevel="0" collapsed="false">
      <c r="A8" s="6" t="s">
        <v>60</v>
      </c>
      <c r="B8" s="10" t="n">
        <v>2</v>
      </c>
      <c r="C8" s="10" t="n">
        <v>15</v>
      </c>
    </row>
    <row r="9" customFormat="false" ht="15" hidden="false" customHeight="false" outlineLevel="0" collapsed="false">
      <c r="A9" s="6" t="s">
        <v>61</v>
      </c>
      <c r="B9" s="10" t="n">
        <v>2</v>
      </c>
      <c r="C9" s="10" t="n">
        <v>15</v>
      </c>
    </row>
    <row r="10" customFormat="false" ht="15" hidden="false" customHeight="false" outlineLevel="0" collapsed="false">
      <c r="A10" s="6" t="s">
        <v>62</v>
      </c>
      <c r="B10" s="10" t="n">
        <v>2</v>
      </c>
      <c r="C10" s="10" t="n">
        <v>14</v>
      </c>
    </row>
    <row r="11" customFormat="false" ht="15" hidden="false" customHeight="false" outlineLevel="0" collapsed="false">
      <c r="A11" s="6" t="s">
        <v>63</v>
      </c>
      <c r="B11" s="10" t="n">
        <v>2</v>
      </c>
      <c r="C11" s="10" t="n">
        <v>15</v>
      </c>
    </row>
    <row r="12" customFormat="false" ht="15" hidden="false" customHeight="false" outlineLevel="0" collapsed="false">
      <c r="A12" s="6" t="s">
        <v>64</v>
      </c>
      <c r="B12" s="10" t="n">
        <v>2</v>
      </c>
      <c r="C12" s="10" t="n">
        <v>14</v>
      </c>
    </row>
    <row r="13" customFormat="false" ht="15" hidden="false" customHeight="false" outlineLevel="0" collapsed="false">
      <c r="A13" s="6" t="s">
        <v>65</v>
      </c>
      <c r="B13" s="10" t="n">
        <v>3</v>
      </c>
      <c r="C13" s="10" t="n">
        <v>14</v>
      </c>
    </row>
    <row r="14" customFormat="false" ht="15" hidden="false" customHeight="false" outlineLevel="0" collapsed="false">
      <c r="A14" s="6" t="s">
        <v>66</v>
      </c>
      <c r="B14" s="10" t="n">
        <v>3</v>
      </c>
      <c r="C14" s="10" t="n">
        <v>14</v>
      </c>
    </row>
    <row r="15" customFormat="false" ht="15" hidden="false" customHeight="false" outlineLevel="0" collapsed="false">
      <c r="A15" s="6" t="s">
        <v>67</v>
      </c>
      <c r="B15" s="10" t="n">
        <v>3</v>
      </c>
      <c r="C15" s="10" t="n">
        <v>13</v>
      </c>
    </row>
    <row r="16" customFormat="false" ht="15" hidden="false" customHeight="false" outlineLevel="0" collapsed="false">
      <c r="A16" s="6" t="s">
        <v>68</v>
      </c>
      <c r="B16" s="10" t="n">
        <v>3</v>
      </c>
      <c r="C16" s="10" t="n">
        <v>14</v>
      </c>
    </row>
    <row r="17" customFormat="false" ht="15" hidden="false" customHeight="false" outlineLevel="0" collapsed="false">
      <c r="A17" s="6" t="s">
        <v>69</v>
      </c>
      <c r="B17" s="10" t="n">
        <v>3</v>
      </c>
      <c r="C17" s="10" t="n">
        <v>13</v>
      </c>
    </row>
    <row r="18" customFormat="false" ht="15" hidden="false" customHeight="false" outlineLevel="0" collapsed="false">
      <c r="A18" s="6" t="s">
        <v>70</v>
      </c>
      <c r="B18" s="10" t="n">
        <v>4</v>
      </c>
      <c r="C18" s="10" t="n">
        <v>13</v>
      </c>
    </row>
    <row r="19" customFormat="false" ht="15" hidden="false" customHeight="false" outlineLevel="0" collapsed="false">
      <c r="A19" s="6" t="s">
        <v>71</v>
      </c>
      <c r="B19" s="10" t="n">
        <v>4</v>
      </c>
      <c r="C19" s="10" t="n">
        <v>13</v>
      </c>
    </row>
    <row r="20" customFormat="false" ht="15" hidden="false" customHeight="false" outlineLevel="0" collapsed="false">
      <c r="A20" s="6" t="s">
        <v>72</v>
      </c>
      <c r="B20" s="10" t="n">
        <v>4</v>
      </c>
      <c r="C20" s="10" t="n">
        <v>12</v>
      </c>
    </row>
    <row r="21" customFormat="false" ht="15" hidden="false" customHeight="false" outlineLevel="0" collapsed="false">
      <c r="A21" s="6" t="s">
        <v>73</v>
      </c>
      <c r="B21" s="10" t="n">
        <v>4</v>
      </c>
      <c r="C21" s="10" t="n">
        <v>13</v>
      </c>
    </row>
    <row r="22" customFormat="false" ht="15" hidden="false" customHeight="false" outlineLevel="0" collapsed="false">
      <c r="A22" s="6" t="s">
        <v>74</v>
      </c>
      <c r="B22" s="10" t="n">
        <v>4</v>
      </c>
      <c r="C22" s="10" t="n">
        <v>12</v>
      </c>
    </row>
    <row r="23" customFormat="false" ht="15" hidden="false" customHeight="false" outlineLevel="0" collapsed="false">
      <c r="A23" s="6" t="s">
        <v>75</v>
      </c>
      <c r="B23" s="10" t="n">
        <v>5</v>
      </c>
      <c r="C23" s="10" t="n">
        <v>12</v>
      </c>
    </row>
    <row r="24" customFormat="false" ht="15" hidden="false" customHeight="false" outlineLevel="0" collapsed="false">
      <c r="A24" s="6" t="s">
        <v>76</v>
      </c>
      <c r="B24" s="10" t="n">
        <v>5</v>
      </c>
      <c r="C24" s="10" t="n">
        <v>12</v>
      </c>
    </row>
    <row r="25" customFormat="false" ht="15" hidden="false" customHeight="false" outlineLevel="0" collapsed="false">
      <c r="A25" s="6" t="s">
        <v>77</v>
      </c>
      <c r="B25" s="10" t="n">
        <v>5</v>
      </c>
      <c r="C25" s="10" t="n">
        <v>11</v>
      </c>
    </row>
    <row r="26" customFormat="false" ht="15" hidden="false" customHeight="false" outlineLevel="0" collapsed="false">
      <c r="A26" s="6" t="s">
        <v>78</v>
      </c>
      <c r="B26" s="10" t="n">
        <v>5</v>
      </c>
      <c r="C26" s="10" t="n">
        <v>12</v>
      </c>
    </row>
    <row r="27" customFormat="false" ht="15" hidden="false" customHeight="false" outlineLevel="0" collapsed="false">
      <c r="A27" s="6" t="s">
        <v>79</v>
      </c>
      <c r="B27" s="10" t="n">
        <v>5</v>
      </c>
      <c r="C27" s="10" t="n">
        <v>11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5" hidden="false" customHeight="true" outlineLevel="0" collapsed="false">
      <c r="A1" s="13" t="s">
        <v>80</v>
      </c>
      <c r="B1" s="13"/>
      <c r="C1" s="13"/>
      <c r="D1" s="13"/>
      <c r="E1" s="13"/>
      <c r="F1" s="13"/>
      <c r="G1" s="13"/>
      <c r="H1" s="13"/>
      <c r="I1" s="13"/>
    </row>
    <row r="2" customFormat="false" ht="23.85" hidden="false" customHeight="false" outlineLevel="0" collapsed="false">
      <c r="A2" s="8" t="s">
        <v>52</v>
      </c>
      <c r="B2" s="8" t="s">
        <v>81</v>
      </c>
      <c r="C2" s="8" t="s">
        <v>82</v>
      </c>
      <c r="D2" s="8" t="s">
        <v>83</v>
      </c>
      <c r="E2" s="8" t="s">
        <v>84</v>
      </c>
      <c r="F2" s="8" t="s">
        <v>85</v>
      </c>
      <c r="G2" s="8" t="s">
        <v>86</v>
      </c>
      <c r="H2" s="8" t="s">
        <v>87</v>
      </c>
      <c r="I2" s="8" t="s">
        <v>88</v>
      </c>
    </row>
    <row r="3" customFormat="false" ht="15" hidden="false" customHeight="false" outlineLevel="0" collapsed="false">
      <c r="A3" s="6" t="s">
        <v>55</v>
      </c>
      <c r="B3" s="10" t="n">
        <v>1</v>
      </c>
      <c r="C3" s="10" t="s">
        <v>89</v>
      </c>
      <c r="D3" s="10" t="s">
        <v>90</v>
      </c>
      <c r="E3" s="10" t="n">
        <v>3</v>
      </c>
      <c r="F3" s="10" t="n">
        <v>97</v>
      </c>
      <c r="G3" s="10" t="n">
        <v>1</v>
      </c>
      <c r="H3" s="10" t="n">
        <v>1</v>
      </c>
      <c r="I3" s="10" t="n">
        <v>83</v>
      </c>
    </row>
    <row r="4" customFormat="false" ht="15" hidden="false" customHeight="false" outlineLevel="0" collapsed="false">
      <c r="A4" s="6" t="s">
        <v>55</v>
      </c>
      <c r="B4" s="10" t="n">
        <v>2</v>
      </c>
      <c r="C4" s="10" t="s">
        <v>89</v>
      </c>
      <c r="D4" s="10" t="s">
        <v>90</v>
      </c>
      <c r="E4" s="10" t="n">
        <v>3</v>
      </c>
      <c r="F4" s="10" t="n">
        <v>96</v>
      </c>
      <c r="G4" s="10" t="n">
        <v>1</v>
      </c>
      <c r="H4" s="10" t="n">
        <v>0</v>
      </c>
      <c r="I4" s="10" t="n">
        <v>54</v>
      </c>
    </row>
    <row r="5" customFormat="false" ht="15" hidden="false" customHeight="false" outlineLevel="0" collapsed="false">
      <c r="A5" s="6" t="s">
        <v>55</v>
      </c>
      <c r="B5" s="10" t="n">
        <v>3</v>
      </c>
      <c r="C5" s="10" t="s">
        <v>89</v>
      </c>
      <c r="D5" s="10" t="s">
        <v>90</v>
      </c>
      <c r="E5" s="10" t="n">
        <v>3</v>
      </c>
      <c r="F5" s="10" t="n">
        <v>100</v>
      </c>
      <c r="G5" s="10" t="n">
        <v>2</v>
      </c>
      <c r="H5" s="10" t="n">
        <v>0</v>
      </c>
      <c r="I5" s="10" t="n">
        <v>91</v>
      </c>
    </row>
    <row r="6" customFormat="false" ht="15" hidden="false" customHeight="false" outlineLevel="0" collapsed="false">
      <c r="A6" s="6" t="s">
        <v>55</v>
      </c>
      <c r="B6" s="10" t="n">
        <v>4</v>
      </c>
      <c r="C6" s="10" t="s">
        <v>89</v>
      </c>
      <c r="D6" s="10" t="s">
        <v>90</v>
      </c>
      <c r="E6" s="10" t="n">
        <v>3</v>
      </c>
      <c r="F6" s="10" t="n">
        <v>99</v>
      </c>
      <c r="G6" s="10" t="n">
        <v>2</v>
      </c>
      <c r="H6" s="10" t="n">
        <v>0</v>
      </c>
      <c r="I6" s="10" t="n">
        <v>88</v>
      </c>
    </row>
    <row r="7" customFormat="false" ht="15" hidden="false" customHeight="false" outlineLevel="0" collapsed="false">
      <c r="A7" s="6" t="s">
        <v>55</v>
      </c>
      <c r="B7" s="10" t="n">
        <v>5</v>
      </c>
      <c r="C7" s="10" t="s">
        <v>89</v>
      </c>
      <c r="D7" s="10" t="s">
        <v>90</v>
      </c>
      <c r="E7" s="10" t="n">
        <v>3</v>
      </c>
      <c r="F7" s="10" t="n">
        <v>98</v>
      </c>
      <c r="G7" s="10" t="n">
        <v>2</v>
      </c>
      <c r="H7" s="10" t="n">
        <v>2</v>
      </c>
      <c r="I7" s="10" t="n">
        <v>74</v>
      </c>
    </row>
    <row r="8" customFormat="false" ht="15" hidden="false" customHeight="false" outlineLevel="0" collapsed="false">
      <c r="A8" s="6" t="s">
        <v>55</v>
      </c>
      <c r="B8" s="10" t="n">
        <v>6</v>
      </c>
      <c r="C8" s="10" t="s">
        <v>89</v>
      </c>
      <c r="D8" s="10" t="s">
        <v>90</v>
      </c>
      <c r="E8" s="10" t="n">
        <v>3</v>
      </c>
      <c r="F8" s="10" t="n">
        <v>98</v>
      </c>
      <c r="G8" s="10" t="n">
        <v>2</v>
      </c>
      <c r="H8" s="10" t="n">
        <v>1</v>
      </c>
      <c r="I8" s="10" t="n">
        <v>42</v>
      </c>
    </row>
    <row r="9" customFormat="false" ht="15" hidden="false" customHeight="false" outlineLevel="0" collapsed="false">
      <c r="A9" s="6" t="s">
        <v>55</v>
      </c>
      <c r="B9" s="10" t="n">
        <v>7</v>
      </c>
      <c r="C9" s="10" t="s">
        <v>89</v>
      </c>
      <c r="D9" s="10" t="s">
        <v>90</v>
      </c>
      <c r="E9" s="10" t="n">
        <v>2</v>
      </c>
      <c r="F9" s="10" t="n">
        <v>87</v>
      </c>
      <c r="G9" s="10" t="n">
        <v>1</v>
      </c>
      <c r="H9" s="10" t="n">
        <v>0</v>
      </c>
      <c r="I9" s="10" t="n">
        <v>69</v>
      </c>
    </row>
    <row r="10" customFormat="false" ht="15" hidden="false" customHeight="false" outlineLevel="0" collapsed="false">
      <c r="A10" s="6" t="s">
        <v>56</v>
      </c>
      <c r="B10" s="10" t="n">
        <v>1</v>
      </c>
      <c r="C10" s="10" t="s">
        <v>89</v>
      </c>
      <c r="D10" s="10" t="s">
        <v>90</v>
      </c>
      <c r="E10" s="10" t="n">
        <v>3</v>
      </c>
      <c r="F10" s="10" t="n">
        <v>97</v>
      </c>
      <c r="G10" s="10" t="n">
        <v>2</v>
      </c>
      <c r="H10" s="10" t="n">
        <v>2</v>
      </c>
      <c r="I10" s="10" t="n">
        <v>44</v>
      </c>
    </row>
    <row r="11" customFormat="false" ht="15" hidden="false" customHeight="false" outlineLevel="0" collapsed="false">
      <c r="A11" s="6" t="s">
        <v>56</v>
      </c>
      <c r="B11" s="10" t="n">
        <v>2</v>
      </c>
      <c r="C11" s="10" t="s">
        <v>89</v>
      </c>
      <c r="D11" s="10" t="s">
        <v>90</v>
      </c>
      <c r="E11" s="10" t="n">
        <v>3</v>
      </c>
      <c r="F11" s="10" t="n">
        <v>97</v>
      </c>
      <c r="G11" s="10" t="n">
        <v>2</v>
      </c>
      <c r="H11" s="10" t="n">
        <v>2</v>
      </c>
      <c r="I11" s="10" t="n">
        <v>80</v>
      </c>
    </row>
    <row r="12" customFormat="false" ht="15" hidden="false" customHeight="false" outlineLevel="0" collapsed="false">
      <c r="A12" s="6" t="s">
        <v>56</v>
      </c>
      <c r="B12" s="10" t="n">
        <v>3</v>
      </c>
      <c r="C12" s="10" t="s">
        <v>89</v>
      </c>
      <c r="D12" s="10" t="s">
        <v>90</v>
      </c>
      <c r="E12" s="10" t="n">
        <v>3</v>
      </c>
      <c r="F12" s="10" t="n">
        <v>96</v>
      </c>
      <c r="G12" s="10" t="n">
        <v>1</v>
      </c>
      <c r="H12" s="10" t="n">
        <v>1</v>
      </c>
      <c r="I12" s="10" t="n">
        <v>91</v>
      </c>
    </row>
    <row r="13" customFormat="false" ht="15" hidden="false" customHeight="false" outlineLevel="0" collapsed="false">
      <c r="A13" s="6" t="s">
        <v>56</v>
      </c>
      <c r="B13" s="10" t="n">
        <v>4</v>
      </c>
      <c r="C13" s="10" t="s">
        <v>89</v>
      </c>
      <c r="D13" s="10" t="s">
        <v>90</v>
      </c>
      <c r="E13" s="10" t="n">
        <v>3</v>
      </c>
      <c r="F13" s="10" t="n">
        <v>100</v>
      </c>
      <c r="G13" s="10" t="n">
        <v>2</v>
      </c>
      <c r="H13" s="10" t="n">
        <v>0</v>
      </c>
      <c r="I13" s="10" t="n">
        <v>81</v>
      </c>
    </row>
    <row r="14" customFormat="false" ht="15" hidden="false" customHeight="false" outlineLevel="0" collapsed="false">
      <c r="A14" s="6" t="s">
        <v>56</v>
      </c>
      <c r="B14" s="10" t="n">
        <v>5</v>
      </c>
      <c r="C14" s="10" t="s">
        <v>89</v>
      </c>
      <c r="D14" s="10" t="s">
        <v>90</v>
      </c>
      <c r="E14" s="10" t="n">
        <v>3</v>
      </c>
      <c r="F14" s="10" t="n">
        <v>100</v>
      </c>
      <c r="G14" s="10" t="n">
        <v>2</v>
      </c>
      <c r="H14" s="10" t="n">
        <v>1</v>
      </c>
      <c r="I14" s="10" t="n">
        <v>77</v>
      </c>
    </row>
    <row r="15" customFormat="false" ht="15" hidden="false" customHeight="false" outlineLevel="0" collapsed="false">
      <c r="A15" s="6" t="s">
        <v>56</v>
      </c>
      <c r="B15" s="10" t="n">
        <v>6</v>
      </c>
      <c r="C15" s="10" t="s">
        <v>89</v>
      </c>
      <c r="D15" s="10" t="s">
        <v>90</v>
      </c>
      <c r="E15" s="10" t="n">
        <v>2</v>
      </c>
      <c r="F15" s="10" t="n">
        <v>96</v>
      </c>
      <c r="G15" s="10" t="n">
        <v>2</v>
      </c>
      <c r="H15" s="10" t="n">
        <v>0</v>
      </c>
      <c r="I15" s="10" t="n">
        <v>47</v>
      </c>
    </row>
    <row r="16" customFormat="false" ht="15" hidden="false" customHeight="false" outlineLevel="0" collapsed="false">
      <c r="A16" s="6" t="s">
        <v>56</v>
      </c>
      <c r="B16" s="10" t="n">
        <v>7</v>
      </c>
      <c r="C16" s="10" t="s">
        <v>89</v>
      </c>
      <c r="D16" s="10" t="s">
        <v>90</v>
      </c>
      <c r="E16" s="10" t="n">
        <v>3</v>
      </c>
      <c r="F16" s="10" t="n">
        <v>100</v>
      </c>
      <c r="G16" s="10" t="n">
        <v>1</v>
      </c>
      <c r="H16" s="10" t="n">
        <v>0</v>
      </c>
      <c r="I16" s="10" t="n">
        <v>78</v>
      </c>
    </row>
    <row r="17" customFormat="false" ht="15" hidden="false" customHeight="false" outlineLevel="0" collapsed="false">
      <c r="A17" s="6" t="s">
        <v>57</v>
      </c>
      <c r="B17" s="10" t="n">
        <v>1</v>
      </c>
      <c r="C17" s="10" t="s">
        <v>89</v>
      </c>
      <c r="D17" s="10" t="s">
        <v>90</v>
      </c>
      <c r="E17" s="10" t="n">
        <v>2</v>
      </c>
      <c r="F17" s="10" t="n">
        <v>80</v>
      </c>
      <c r="G17" s="10" t="n">
        <v>1</v>
      </c>
      <c r="H17" s="10" t="n">
        <v>1</v>
      </c>
      <c r="I17" s="10" t="n">
        <v>74</v>
      </c>
    </row>
    <row r="18" customFormat="false" ht="15" hidden="false" customHeight="false" outlineLevel="0" collapsed="false">
      <c r="A18" s="6" t="s">
        <v>57</v>
      </c>
      <c r="B18" s="10" t="n">
        <v>2</v>
      </c>
      <c r="C18" s="10" t="s">
        <v>89</v>
      </c>
      <c r="D18" s="10" t="s">
        <v>90</v>
      </c>
      <c r="E18" s="10" t="n">
        <v>3</v>
      </c>
      <c r="F18" s="10" t="n">
        <v>98</v>
      </c>
      <c r="G18" s="10" t="n">
        <v>2</v>
      </c>
      <c r="H18" s="10" t="n">
        <v>0</v>
      </c>
      <c r="I18" s="10" t="n">
        <v>86</v>
      </c>
    </row>
    <row r="19" customFormat="false" ht="15" hidden="false" customHeight="false" outlineLevel="0" collapsed="false">
      <c r="A19" s="6" t="s">
        <v>57</v>
      </c>
      <c r="B19" s="10" t="n">
        <v>3</v>
      </c>
      <c r="C19" s="10" t="s">
        <v>89</v>
      </c>
      <c r="D19" s="10" t="s">
        <v>90</v>
      </c>
      <c r="E19" s="10" t="n">
        <v>3</v>
      </c>
      <c r="F19" s="10" t="n">
        <v>97</v>
      </c>
      <c r="G19" s="10" t="n">
        <v>1</v>
      </c>
      <c r="H19" s="10" t="n">
        <v>1</v>
      </c>
      <c r="I19" s="10" t="n">
        <v>59</v>
      </c>
    </row>
    <row r="20" customFormat="false" ht="15" hidden="false" customHeight="false" outlineLevel="0" collapsed="false">
      <c r="A20" s="6" t="s">
        <v>57</v>
      </c>
      <c r="B20" s="10" t="n">
        <v>4</v>
      </c>
      <c r="C20" s="10" t="s">
        <v>89</v>
      </c>
      <c r="D20" s="10" t="s">
        <v>90</v>
      </c>
      <c r="E20" s="10" t="n">
        <v>3</v>
      </c>
      <c r="F20" s="10" t="n">
        <v>98</v>
      </c>
      <c r="G20" s="10" t="n">
        <v>1</v>
      </c>
      <c r="H20" s="10" t="n">
        <v>0</v>
      </c>
      <c r="I20" s="10" t="n">
        <v>89</v>
      </c>
    </row>
    <row r="21" customFormat="false" ht="15" hidden="false" customHeight="false" outlineLevel="0" collapsed="false">
      <c r="A21" s="6" t="s">
        <v>57</v>
      </c>
      <c r="B21" s="10" t="n">
        <v>5</v>
      </c>
      <c r="C21" s="10" t="s">
        <v>89</v>
      </c>
      <c r="D21" s="10" t="s">
        <v>90</v>
      </c>
      <c r="E21" s="10"/>
      <c r="F21" s="10"/>
      <c r="G21" s="10" t="n">
        <v>2</v>
      </c>
      <c r="H21" s="10" t="n">
        <v>0</v>
      </c>
      <c r="I21" s="10" t="n">
        <v>63</v>
      </c>
    </row>
    <row r="22" customFormat="false" ht="15" hidden="false" customHeight="false" outlineLevel="0" collapsed="false">
      <c r="A22" s="6" t="s">
        <v>57</v>
      </c>
      <c r="B22" s="10" t="n">
        <v>6</v>
      </c>
      <c r="C22" s="10" t="s">
        <v>89</v>
      </c>
      <c r="D22" s="10" t="s">
        <v>90</v>
      </c>
      <c r="E22" s="10" t="n">
        <v>3</v>
      </c>
      <c r="F22" s="10" t="n">
        <v>96</v>
      </c>
      <c r="G22" s="10" t="n">
        <v>1</v>
      </c>
      <c r="H22" s="10" t="n">
        <v>1</v>
      </c>
      <c r="I22" s="10" t="n">
        <v>45</v>
      </c>
    </row>
    <row r="23" customFormat="false" ht="15" hidden="false" customHeight="false" outlineLevel="0" collapsed="false">
      <c r="A23" s="6" t="s">
        <v>57</v>
      </c>
      <c r="B23" s="10" t="n">
        <v>7</v>
      </c>
      <c r="C23" s="10" t="s">
        <v>89</v>
      </c>
      <c r="D23" s="10" t="s">
        <v>90</v>
      </c>
      <c r="E23" s="10" t="n">
        <v>3</v>
      </c>
      <c r="F23" s="10" t="n">
        <v>100</v>
      </c>
      <c r="G23" s="10" t="n">
        <v>1</v>
      </c>
      <c r="H23" s="10" t="n">
        <v>0</v>
      </c>
      <c r="I23" s="10" t="n">
        <v>70</v>
      </c>
    </row>
    <row r="24" customFormat="false" ht="15" hidden="false" customHeight="false" outlineLevel="0" collapsed="false">
      <c r="A24" s="6" t="s">
        <v>58</v>
      </c>
      <c r="B24" s="10" t="n">
        <v>1</v>
      </c>
      <c r="C24" s="10" t="s">
        <v>89</v>
      </c>
      <c r="D24" s="10" t="s">
        <v>90</v>
      </c>
      <c r="E24" s="10" t="n">
        <v>3</v>
      </c>
      <c r="F24" s="10" t="n">
        <v>100</v>
      </c>
      <c r="G24" s="10" t="n">
        <v>2</v>
      </c>
      <c r="H24" s="10" t="n">
        <v>4</v>
      </c>
      <c r="I24" s="10" t="n">
        <v>88</v>
      </c>
    </row>
    <row r="25" customFormat="false" ht="15" hidden="false" customHeight="false" outlineLevel="0" collapsed="false">
      <c r="A25" s="6" t="s">
        <v>58</v>
      </c>
      <c r="B25" s="10" t="n">
        <v>2</v>
      </c>
      <c r="C25" s="10" t="s">
        <v>89</v>
      </c>
      <c r="D25" s="10" t="s">
        <v>90</v>
      </c>
      <c r="E25" s="10" t="n">
        <v>3</v>
      </c>
      <c r="F25" s="10" t="n">
        <v>98</v>
      </c>
      <c r="G25" s="10" t="n">
        <v>2</v>
      </c>
      <c r="H25" s="10" t="n">
        <v>2</v>
      </c>
      <c r="I25" s="10" t="n">
        <v>55</v>
      </c>
    </row>
    <row r="26" customFormat="false" ht="15" hidden="false" customHeight="false" outlineLevel="0" collapsed="false">
      <c r="A26" s="6" t="s">
        <v>58</v>
      </c>
      <c r="B26" s="10" t="n">
        <v>3</v>
      </c>
      <c r="C26" s="10" t="s">
        <v>89</v>
      </c>
      <c r="D26" s="10" t="s">
        <v>90</v>
      </c>
      <c r="E26" s="10" t="n">
        <v>3</v>
      </c>
      <c r="F26" s="10" t="n">
        <v>97</v>
      </c>
      <c r="G26" s="10" t="n">
        <v>1</v>
      </c>
      <c r="H26" s="10" t="n">
        <v>0</v>
      </c>
      <c r="I26" s="10" t="n">
        <v>85</v>
      </c>
    </row>
    <row r="27" customFormat="false" ht="15" hidden="false" customHeight="false" outlineLevel="0" collapsed="false">
      <c r="A27" s="6" t="s">
        <v>58</v>
      </c>
      <c r="B27" s="10" t="n">
        <v>4</v>
      </c>
      <c r="C27" s="10" t="s">
        <v>89</v>
      </c>
      <c r="D27" s="10" t="s">
        <v>90</v>
      </c>
      <c r="E27" s="10" t="n">
        <v>2</v>
      </c>
      <c r="F27" s="10" t="n">
        <v>90</v>
      </c>
      <c r="G27" s="10" t="n">
        <v>1</v>
      </c>
      <c r="H27" s="10" t="n">
        <v>1</v>
      </c>
      <c r="I27" s="10" t="n">
        <v>57</v>
      </c>
    </row>
    <row r="28" customFormat="false" ht="15" hidden="false" customHeight="false" outlineLevel="0" collapsed="false">
      <c r="A28" s="6" t="s">
        <v>58</v>
      </c>
      <c r="B28" s="10" t="n">
        <v>5</v>
      </c>
      <c r="C28" s="10" t="s">
        <v>89</v>
      </c>
      <c r="D28" s="10" t="s">
        <v>90</v>
      </c>
      <c r="E28" s="10" t="n">
        <v>3</v>
      </c>
      <c r="F28" s="10" t="n">
        <v>100</v>
      </c>
      <c r="G28" s="10" t="n">
        <v>2</v>
      </c>
      <c r="H28" s="10" t="n">
        <v>0</v>
      </c>
      <c r="I28" s="10" t="n">
        <v>66</v>
      </c>
    </row>
    <row r="29" customFormat="false" ht="15" hidden="false" customHeight="false" outlineLevel="0" collapsed="false">
      <c r="A29" s="6" t="s">
        <v>58</v>
      </c>
      <c r="B29" s="10" t="n">
        <v>6</v>
      </c>
      <c r="C29" s="10" t="s">
        <v>89</v>
      </c>
      <c r="D29" s="10" t="s">
        <v>90</v>
      </c>
      <c r="E29" s="10" t="n">
        <v>3</v>
      </c>
      <c r="F29" s="10" t="n">
        <v>99</v>
      </c>
      <c r="G29" s="10" t="n">
        <v>2</v>
      </c>
      <c r="H29" s="10" t="n">
        <v>1</v>
      </c>
      <c r="I29" s="10" t="n">
        <v>83</v>
      </c>
    </row>
    <row r="30" customFormat="false" ht="15" hidden="false" customHeight="false" outlineLevel="0" collapsed="false">
      <c r="A30" s="6" t="s">
        <v>58</v>
      </c>
      <c r="B30" s="10" t="n">
        <v>7</v>
      </c>
      <c r="C30" s="10" t="s">
        <v>89</v>
      </c>
      <c r="D30" s="10" t="s">
        <v>90</v>
      </c>
      <c r="E30" s="10" t="n">
        <v>3</v>
      </c>
      <c r="F30" s="10" t="n">
        <v>98</v>
      </c>
      <c r="G30" s="10" t="n">
        <v>1</v>
      </c>
      <c r="H30" s="10" t="n">
        <v>0</v>
      </c>
      <c r="I30" s="10" t="n">
        <v>52</v>
      </c>
    </row>
    <row r="31" customFormat="false" ht="15" hidden="false" customHeight="false" outlineLevel="0" collapsed="false">
      <c r="A31" s="6" t="s">
        <v>59</v>
      </c>
      <c r="B31" s="10" t="n">
        <v>1</v>
      </c>
      <c r="C31" s="10" t="s">
        <v>89</v>
      </c>
      <c r="D31" s="10" t="s">
        <v>90</v>
      </c>
      <c r="E31" s="10" t="n">
        <v>3</v>
      </c>
      <c r="F31" s="10" t="n">
        <v>96</v>
      </c>
      <c r="G31" s="10" t="n">
        <v>2</v>
      </c>
      <c r="H31" s="10" t="n">
        <v>4</v>
      </c>
      <c r="I31" s="10" t="n">
        <v>46</v>
      </c>
    </row>
    <row r="32" customFormat="false" ht="15" hidden="false" customHeight="false" outlineLevel="0" collapsed="false">
      <c r="A32" s="6" t="s">
        <v>59</v>
      </c>
      <c r="B32" s="10" t="n">
        <v>2</v>
      </c>
      <c r="C32" s="10" t="s">
        <v>89</v>
      </c>
      <c r="D32" s="10" t="s">
        <v>90</v>
      </c>
      <c r="E32" s="10"/>
      <c r="F32" s="10"/>
      <c r="G32" s="10" t="n">
        <v>1</v>
      </c>
      <c r="H32" s="10" t="n">
        <v>2</v>
      </c>
      <c r="I32" s="10" t="n">
        <v>94</v>
      </c>
    </row>
    <row r="33" customFormat="false" ht="15" hidden="false" customHeight="false" outlineLevel="0" collapsed="false">
      <c r="A33" s="6" t="s">
        <v>59</v>
      </c>
      <c r="B33" s="10" t="n">
        <v>3</v>
      </c>
      <c r="C33" s="10" t="s">
        <v>89</v>
      </c>
      <c r="D33" s="10" t="s">
        <v>90</v>
      </c>
      <c r="E33" s="10" t="n">
        <v>2</v>
      </c>
      <c r="F33" s="10" t="n">
        <v>81</v>
      </c>
      <c r="G33" s="10" t="n">
        <v>1</v>
      </c>
      <c r="H33" s="10" t="n">
        <v>0</v>
      </c>
      <c r="I33" s="10" t="n">
        <v>64</v>
      </c>
    </row>
    <row r="34" customFormat="false" ht="15" hidden="false" customHeight="false" outlineLevel="0" collapsed="false">
      <c r="A34" s="6" t="s">
        <v>59</v>
      </c>
      <c r="B34" s="10" t="n">
        <v>4</v>
      </c>
      <c r="C34" s="10" t="s">
        <v>89</v>
      </c>
      <c r="D34" s="10" t="s">
        <v>90</v>
      </c>
      <c r="E34" s="10" t="n">
        <v>3</v>
      </c>
      <c r="F34" s="10" t="n">
        <v>100</v>
      </c>
      <c r="G34" s="10" t="n">
        <v>2</v>
      </c>
      <c r="H34" s="10" t="n">
        <v>0</v>
      </c>
      <c r="I34" s="10" t="n">
        <v>43</v>
      </c>
    </row>
    <row r="35" customFormat="false" ht="15" hidden="false" customHeight="false" outlineLevel="0" collapsed="false">
      <c r="A35" s="6" t="s">
        <v>59</v>
      </c>
      <c r="B35" s="10" t="n">
        <v>5</v>
      </c>
      <c r="C35" s="10" t="s">
        <v>89</v>
      </c>
      <c r="D35" s="10" t="s">
        <v>90</v>
      </c>
      <c r="E35" s="10"/>
      <c r="F35" s="10"/>
      <c r="G35" s="10" t="n">
        <v>1</v>
      </c>
      <c r="H35" s="10" t="n">
        <v>0</v>
      </c>
      <c r="I35" s="10" t="n">
        <v>70</v>
      </c>
    </row>
    <row r="36" customFormat="false" ht="15" hidden="false" customHeight="false" outlineLevel="0" collapsed="false">
      <c r="A36" s="6" t="s">
        <v>59</v>
      </c>
      <c r="B36" s="10" t="n">
        <v>6</v>
      </c>
      <c r="C36" s="10" t="s">
        <v>89</v>
      </c>
      <c r="D36" s="10" t="s">
        <v>90</v>
      </c>
      <c r="E36" s="10" t="n">
        <v>1</v>
      </c>
      <c r="F36" s="10" t="n">
        <v>57</v>
      </c>
      <c r="G36" s="10" t="n">
        <v>1</v>
      </c>
      <c r="H36" s="10" t="n">
        <v>0</v>
      </c>
      <c r="I36" s="10" t="n">
        <v>44</v>
      </c>
    </row>
    <row r="37" customFormat="false" ht="15" hidden="false" customHeight="false" outlineLevel="0" collapsed="false">
      <c r="A37" s="6" t="s">
        <v>59</v>
      </c>
      <c r="B37" s="10" t="n">
        <v>7</v>
      </c>
      <c r="C37" s="10" t="s">
        <v>89</v>
      </c>
      <c r="D37" s="10" t="s">
        <v>90</v>
      </c>
      <c r="E37" s="10" t="n">
        <v>1</v>
      </c>
      <c r="F37" s="10" t="n">
        <v>62</v>
      </c>
      <c r="G37" s="10" t="n">
        <v>1</v>
      </c>
      <c r="H37" s="10" t="n">
        <v>1</v>
      </c>
      <c r="I37" s="10" t="n">
        <v>66</v>
      </c>
    </row>
    <row r="38" customFormat="false" ht="15" hidden="false" customHeight="false" outlineLevel="0" collapsed="false">
      <c r="A38" s="6" t="s">
        <v>60</v>
      </c>
      <c r="B38" s="10" t="n">
        <v>1</v>
      </c>
      <c r="C38" s="10" t="s">
        <v>89</v>
      </c>
      <c r="D38" s="10" t="s">
        <v>90</v>
      </c>
      <c r="E38" s="10" t="n">
        <v>3</v>
      </c>
      <c r="F38" s="10" t="n">
        <v>98</v>
      </c>
      <c r="G38" s="10" t="n">
        <v>1</v>
      </c>
      <c r="H38" s="10" t="n">
        <v>1</v>
      </c>
      <c r="I38" s="10" t="n">
        <v>60</v>
      </c>
    </row>
    <row r="39" customFormat="false" ht="15" hidden="false" customHeight="false" outlineLevel="0" collapsed="false">
      <c r="A39" s="6" t="s">
        <v>60</v>
      </c>
      <c r="B39" s="10" t="n">
        <v>2</v>
      </c>
      <c r="C39" s="10" t="s">
        <v>89</v>
      </c>
      <c r="D39" s="10" t="s">
        <v>90</v>
      </c>
      <c r="E39" s="10" t="n">
        <v>3</v>
      </c>
      <c r="F39" s="10" t="n">
        <v>98</v>
      </c>
      <c r="G39" s="10" t="n">
        <v>2</v>
      </c>
      <c r="H39" s="10" t="n">
        <v>1</v>
      </c>
      <c r="I39" s="10" t="n">
        <v>44</v>
      </c>
    </row>
    <row r="40" customFormat="false" ht="15" hidden="false" customHeight="false" outlineLevel="0" collapsed="false">
      <c r="A40" s="6" t="s">
        <v>60</v>
      </c>
      <c r="B40" s="10" t="n">
        <v>3</v>
      </c>
      <c r="C40" s="10" t="s">
        <v>89</v>
      </c>
      <c r="D40" s="10" t="s">
        <v>90</v>
      </c>
      <c r="E40" s="10" t="n">
        <v>3</v>
      </c>
      <c r="F40" s="10" t="n">
        <v>96</v>
      </c>
      <c r="G40" s="10" t="n">
        <v>1</v>
      </c>
      <c r="H40" s="10" t="n">
        <v>0</v>
      </c>
      <c r="I40" s="10" t="n">
        <v>72</v>
      </c>
    </row>
    <row r="41" customFormat="false" ht="15" hidden="false" customHeight="false" outlineLevel="0" collapsed="false">
      <c r="A41" s="6" t="s">
        <v>60</v>
      </c>
      <c r="B41" s="10" t="n">
        <v>4</v>
      </c>
      <c r="C41" s="10" t="s">
        <v>89</v>
      </c>
      <c r="D41" s="10" t="s">
        <v>90</v>
      </c>
      <c r="E41" s="10" t="n">
        <v>2</v>
      </c>
      <c r="F41" s="10" t="n">
        <v>87</v>
      </c>
      <c r="G41" s="10" t="n">
        <v>2</v>
      </c>
      <c r="H41" s="10" t="n">
        <v>0</v>
      </c>
      <c r="I41" s="10" t="n">
        <v>74</v>
      </c>
    </row>
    <row r="42" customFormat="false" ht="15" hidden="false" customHeight="false" outlineLevel="0" collapsed="false">
      <c r="A42" s="6" t="s">
        <v>60</v>
      </c>
      <c r="B42" s="10" t="n">
        <v>5</v>
      </c>
      <c r="C42" s="10" t="s">
        <v>89</v>
      </c>
      <c r="D42" s="10" t="s">
        <v>90</v>
      </c>
      <c r="E42" s="10" t="n">
        <v>2</v>
      </c>
      <c r="F42" s="10" t="n">
        <v>96</v>
      </c>
      <c r="G42" s="10" t="n">
        <v>1</v>
      </c>
      <c r="H42" s="10" t="n">
        <v>1</v>
      </c>
      <c r="I42" s="10" t="n">
        <v>75</v>
      </c>
    </row>
    <row r="43" customFormat="false" ht="15" hidden="false" customHeight="false" outlineLevel="0" collapsed="false">
      <c r="A43" s="6" t="s">
        <v>60</v>
      </c>
      <c r="B43" s="10" t="n">
        <v>6</v>
      </c>
      <c r="C43" s="10" t="s">
        <v>89</v>
      </c>
      <c r="D43" s="10" t="s">
        <v>90</v>
      </c>
      <c r="E43" s="10" t="n">
        <v>2</v>
      </c>
      <c r="F43" s="10" t="n">
        <v>84</v>
      </c>
      <c r="G43" s="10" t="n">
        <v>2</v>
      </c>
      <c r="H43" s="10" t="n">
        <v>0</v>
      </c>
      <c r="I43" s="10" t="n">
        <v>75</v>
      </c>
    </row>
    <row r="44" customFormat="false" ht="15" hidden="false" customHeight="false" outlineLevel="0" collapsed="false">
      <c r="A44" s="6" t="s">
        <v>60</v>
      </c>
      <c r="B44" s="10" t="n">
        <v>7</v>
      </c>
      <c r="C44" s="10" t="s">
        <v>89</v>
      </c>
      <c r="D44" s="10" t="s">
        <v>90</v>
      </c>
      <c r="E44" s="10" t="n">
        <v>3</v>
      </c>
      <c r="F44" s="10" t="n">
        <v>98</v>
      </c>
      <c r="G44" s="10" t="n">
        <v>1</v>
      </c>
      <c r="H44" s="10" t="n">
        <v>1</v>
      </c>
      <c r="I44" s="10" t="n">
        <v>94</v>
      </c>
    </row>
    <row r="45" customFormat="false" ht="15" hidden="false" customHeight="false" outlineLevel="0" collapsed="false">
      <c r="A45" s="6" t="s">
        <v>61</v>
      </c>
      <c r="B45" s="10" t="n">
        <v>1</v>
      </c>
      <c r="C45" s="10" t="s">
        <v>89</v>
      </c>
      <c r="D45" s="10" t="s">
        <v>90</v>
      </c>
      <c r="E45" s="10" t="n">
        <v>2</v>
      </c>
      <c r="F45" s="10" t="n">
        <v>81</v>
      </c>
      <c r="G45" s="10" t="n">
        <v>1</v>
      </c>
      <c r="H45" s="10" t="n">
        <v>1</v>
      </c>
      <c r="I45" s="10" t="n">
        <v>93</v>
      </c>
    </row>
    <row r="46" customFormat="false" ht="15" hidden="false" customHeight="false" outlineLevel="0" collapsed="false">
      <c r="A46" s="6" t="s">
        <v>61</v>
      </c>
      <c r="B46" s="10" t="n">
        <v>2</v>
      </c>
      <c r="C46" s="10" t="s">
        <v>89</v>
      </c>
      <c r="D46" s="10" t="s">
        <v>90</v>
      </c>
      <c r="E46" s="10" t="n">
        <v>2</v>
      </c>
      <c r="F46" s="10" t="n">
        <v>88</v>
      </c>
      <c r="G46" s="10" t="n">
        <v>1</v>
      </c>
      <c r="H46" s="10" t="n">
        <v>1</v>
      </c>
      <c r="I46" s="10" t="n">
        <v>75</v>
      </c>
    </row>
    <row r="47" customFormat="false" ht="15" hidden="false" customHeight="false" outlineLevel="0" collapsed="false">
      <c r="A47" s="6" t="s">
        <v>61</v>
      </c>
      <c r="B47" s="10" t="n">
        <v>3</v>
      </c>
      <c r="C47" s="10" t="s">
        <v>89</v>
      </c>
      <c r="D47" s="10" t="s">
        <v>90</v>
      </c>
      <c r="E47" s="10" t="n">
        <v>3</v>
      </c>
      <c r="F47" s="10" t="n">
        <v>97</v>
      </c>
      <c r="G47" s="10" t="n">
        <v>1</v>
      </c>
      <c r="H47" s="10" t="n">
        <v>2</v>
      </c>
      <c r="I47" s="10" t="n">
        <v>77</v>
      </c>
    </row>
    <row r="48" customFormat="false" ht="15" hidden="false" customHeight="false" outlineLevel="0" collapsed="false">
      <c r="A48" s="6" t="s">
        <v>61</v>
      </c>
      <c r="B48" s="10" t="n">
        <v>4</v>
      </c>
      <c r="C48" s="10" t="s">
        <v>89</v>
      </c>
      <c r="D48" s="10" t="s">
        <v>90</v>
      </c>
      <c r="E48" s="10" t="n">
        <v>3</v>
      </c>
      <c r="F48" s="10" t="n">
        <v>98</v>
      </c>
      <c r="G48" s="10" t="n">
        <v>1</v>
      </c>
      <c r="H48" s="10" t="n">
        <v>2</v>
      </c>
      <c r="I48" s="10" t="n">
        <v>53</v>
      </c>
    </row>
    <row r="49" customFormat="false" ht="15" hidden="false" customHeight="false" outlineLevel="0" collapsed="false">
      <c r="A49" s="6" t="s">
        <v>61</v>
      </c>
      <c r="B49" s="10" t="n">
        <v>5</v>
      </c>
      <c r="C49" s="10" t="s">
        <v>89</v>
      </c>
      <c r="D49" s="10" t="s">
        <v>90</v>
      </c>
      <c r="E49" s="10" t="n">
        <v>3</v>
      </c>
      <c r="F49" s="10" t="n">
        <v>100</v>
      </c>
      <c r="G49" s="10" t="n">
        <v>2</v>
      </c>
      <c r="H49" s="10" t="n">
        <v>3</v>
      </c>
      <c r="I49" s="10" t="n">
        <v>55</v>
      </c>
    </row>
    <row r="50" customFormat="false" ht="15" hidden="false" customHeight="false" outlineLevel="0" collapsed="false">
      <c r="A50" s="6" t="s">
        <v>61</v>
      </c>
      <c r="B50" s="10" t="n">
        <v>6</v>
      </c>
      <c r="C50" s="10" t="s">
        <v>89</v>
      </c>
      <c r="D50" s="10" t="s">
        <v>90</v>
      </c>
      <c r="E50" s="10"/>
      <c r="F50" s="10"/>
      <c r="G50" s="10" t="n">
        <v>1</v>
      </c>
      <c r="H50" s="10" t="n">
        <v>2</v>
      </c>
      <c r="I50" s="10" t="n">
        <v>41</v>
      </c>
    </row>
    <row r="51" customFormat="false" ht="15" hidden="false" customHeight="false" outlineLevel="0" collapsed="false">
      <c r="A51" s="6" t="s">
        <v>61</v>
      </c>
      <c r="B51" s="10" t="n">
        <v>7</v>
      </c>
      <c r="C51" s="10" t="s">
        <v>89</v>
      </c>
      <c r="D51" s="10" t="s">
        <v>90</v>
      </c>
      <c r="E51" s="10"/>
      <c r="F51" s="10"/>
      <c r="G51" s="10" t="n">
        <v>2</v>
      </c>
      <c r="H51" s="10" t="n">
        <v>3</v>
      </c>
      <c r="I51" s="10" t="n">
        <v>91</v>
      </c>
    </row>
    <row r="52" customFormat="false" ht="15" hidden="false" customHeight="false" outlineLevel="0" collapsed="false">
      <c r="A52" s="6" t="s">
        <v>62</v>
      </c>
      <c r="B52" s="10" t="n">
        <v>1</v>
      </c>
      <c r="C52" s="10" t="s">
        <v>89</v>
      </c>
      <c r="D52" s="10" t="s">
        <v>90</v>
      </c>
      <c r="E52" s="10" t="n">
        <v>2</v>
      </c>
      <c r="F52" s="10" t="n">
        <v>92</v>
      </c>
      <c r="G52" s="10" t="n">
        <v>1</v>
      </c>
      <c r="H52" s="10" t="n">
        <v>2</v>
      </c>
      <c r="I52" s="10" t="n">
        <v>54</v>
      </c>
    </row>
    <row r="53" customFormat="false" ht="15" hidden="false" customHeight="false" outlineLevel="0" collapsed="false">
      <c r="A53" s="6" t="s">
        <v>62</v>
      </c>
      <c r="B53" s="10" t="n">
        <v>2</v>
      </c>
      <c r="C53" s="10" t="s">
        <v>89</v>
      </c>
      <c r="D53" s="10" t="s">
        <v>90</v>
      </c>
      <c r="E53" s="10" t="n">
        <v>3</v>
      </c>
      <c r="F53" s="10" t="n">
        <v>97</v>
      </c>
      <c r="G53" s="10" t="n">
        <v>1</v>
      </c>
      <c r="H53" s="10" t="n">
        <v>0</v>
      </c>
      <c r="I53" s="10" t="n">
        <v>52</v>
      </c>
    </row>
    <row r="54" customFormat="false" ht="15" hidden="false" customHeight="false" outlineLevel="0" collapsed="false">
      <c r="A54" s="6" t="s">
        <v>62</v>
      </c>
      <c r="B54" s="10" t="n">
        <v>3</v>
      </c>
      <c r="C54" s="10" t="s">
        <v>89</v>
      </c>
      <c r="D54" s="10" t="s">
        <v>90</v>
      </c>
      <c r="E54" s="10" t="n">
        <v>3</v>
      </c>
      <c r="F54" s="10" t="n">
        <v>98</v>
      </c>
      <c r="G54" s="10" t="n">
        <v>2</v>
      </c>
      <c r="H54" s="10" t="n">
        <v>1</v>
      </c>
      <c r="I54" s="10" t="n">
        <v>93</v>
      </c>
    </row>
    <row r="55" customFormat="false" ht="15" hidden="false" customHeight="false" outlineLevel="0" collapsed="false">
      <c r="A55" s="6" t="s">
        <v>62</v>
      </c>
      <c r="B55" s="10" t="n">
        <v>4</v>
      </c>
      <c r="C55" s="10" t="s">
        <v>89</v>
      </c>
      <c r="D55" s="10" t="s">
        <v>90</v>
      </c>
      <c r="E55" s="10" t="n">
        <v>3</v>
      </c>
      <c r="F55" s="10" t="n">
        <v>98</v>
      </c>
      <c r="G55" s="10" t="n">
        <v>1</v>
      </c>
      <c r="H55" s="10" t="n">
        <v>1</v>
      </c>
      <c r="I55" s="10" t="n">
        <v>56</v>
      </c>
    </row>
    <row r="56" customFormat="false" ht="15" hidden="false" customHeight="false" outlineLevel="0" collapsed="false">
      <c r="A56" s="6" t="s">
        <v>62</v>
      </c>
      <c r="B56" s="10" t="n">
        <v>5</v>
      </c>
      <c r="C56" s="10" t="s">
        <v>89</v>
      </c>
      <c r="D56" s="10" t="s">
        <v>90</v>
      </c>
      <c r="E56" s="10" t="n">
        <v>3</v>
      </c>
      <c r="F56" s="10" t="n">
        <v>98</v>
      </c>
      <c r="G56" s="10" t="n">
        <v>2</v>
      </c>
      <c r="H56" s="10" t="n">
        <v>2</v>
      </c>
      <c r="I56" s="10" t="n">
        <v>64</v>
      </c>
    </row>
    <row r="57" customFormat="false" ht="15" hidden="false" customHeight="false" outlineLevel="0" collapsed="false">
      <c r="A57" s="6" t="s">
        <v>62</v>
      </c>
      <c r="B57" s="10" t="n">
        <v>6</v>
      </c>
      <c r="C57" s="10" t="s">
        <v>89</v>
      </c>
      <c r="D57" s="10" t="s">
        <v>90</v>
      </c>
      <c r="E57" s="10" t="n">
        <v>3</v>
      </c>
      <c r="F57" s="10" t="n">
        <v>99</v>
      </c>
      <c r="G57" s="10" t="n">
        <v>1</v>
      </c>
      <c r="H57" s="10" t="n">
        <v>1</v>
      </c>
      <c r="I57" s="10" t="n">
        <v>91</v>
      </c>
    </row>
    <row r="58" customFormat="false" ht="15" hidden="false" customHeight="false" outlineLevel="0" collapsed="false">
      <c r="A58" s="6" t="s">
        <v>62</v>
      </c>
      <c r="B58" s="10" t="n">
        <v>7</v>
      </c>
      <c r="C58" s="10" t="s">
        <v>89</v>
      </c>
      <c r="D58" s="10" t="s">
        <v>90</v>
      </c>
      <c r="E58" s="10" t="n">
        <v>2</v>
      </c>
      <c r="F58" s="10" t="n">
        <v>86</v>
      </c>
      <c r="G58" s="10" t="n">
        <v>2</v>
      </c>
      <c r="H58" s="10" t="n">
        <v>2</v>
      </c>
      <c r="I58" s="10" t="n">
        <v>61</v>
      </c>
    </row>
    <row r="59" customFormat="false" ht="15" hidden="false" customHeight="false" outlineLevel="0" collapsed="false">
      <c r="A59" s="6" t="s">
        <v>63</v>
      </c>
      <c r="B59" s="10" t="n">
        <v>1</v>
      </c>
      <c r="C59" s="10" t="s">
        <v>89</v>
      </c>
      <c r="D59" s="10" t="s">
        <v>90</v>
      </c>
      <c r="E59" s="10" t="n">
        <v>3</v>
      </c>
      <c r="F59" s="10" t="n">
        <v>98</v>
      </c>
      <c r="G59" s="10" t="n">
        <v>2</v>
      </c>
      <c r="H59" s="10" t="n">
        <v>1</v>
      </c>
      <c r="I59" s="10" t="n">
        <v>84</v>
      </c>
    </row>
    <row r="60" customFormat="false" ht="15" hidden="false" customHeight="false" outlineLevel="0" collapsed="false">
      <c r="A60" s="6" t="s">
        <v>63</v>
      </c>
      <c r="B60" s="10" t="n">
        <v>2</v>
      </c>
      <c r="C60" s="10" t="s">
        <v>89</v>
      </c>
      <c r="D60" s="10" t="s">
        <v>90</v>
      </c>
      <c r="E60" s="10" t="n">
        <v>3</v>
      </c>
      <c r="F60" s="10" t="n">
        <v>99</v>
      </c>
      <c r="G60" s="10" t="n">
        <v>1</v>
      </c>
      <c r="H60" s="10" t="n">
        <v>1</v>
      </c>
      <c r="I60" s="10" t="n">
        <v>59</v>
      </c>
    </row>
    <row r="61" customFormat="false" ht="15" hidden="false" customHeight="false" outlineLevel="0" collapsed="false">
      <c r="A61" s="6" t="s">
        <v>63</v>
      </c>
      <c r="B61" s="10" t="n">
        <v>3</v>
      </c>
      <c r="C61" s="10" t="s">
        <v>89</v>
      </c>
      <c r="D61" s="10" t="s">
        <v>90</v>
      </c>
      <c r="E61" s="10"/>
      <c r="F61" s="10"/>
      <c r="G61" s="10" t="n">
        <v>2</v>
      </c>
      <c r="H61" s="10" t="n">
        <v>0</v>
      </c>
      <c r="I61" s="10" t="n">
        <v>77</v>
      </c>
    </row>
    <row r="62" customFormat="false" ht="15" hidden="false" customHeight="false" outlineLevel="0" collapsed="false">
      <c r="A62" s="6" t="s">
        <v>63</v>
      </c>
      <c r="B62" s="10" t="n">
        <v>4</v>
      </c>
      <c r="C62" s="10" t="s">
        <v>89</v>
      </c>
      <c r="D62" s="10" t="s">
        <v>90</v>
      </c>
      <c r="E62" s="10" t="n">
        <v>3</v>
      </c>
      <c r="F62" s="10" t="n">
        <v>97</v>
      </c>
      <c r="G62" s="10" t="n">
        <v>2</v>
      </c>
      <c r="H62" s="10" t="n">
        <v>4</v>
      </c>
      <c r="I62" s="10" t="n">
        <v>87</v>
      </c>
    </row>
    <row r="63" customFormat="false" ht="15" hidden="false" customHeight="false" outlineLevel="0" collapsed="false">
      <c r="A63" s="6" t="s">
        <v>63</v>
      </c>
      <c r="B63" s="10" t="n">
        <v>5</v>
      </c>
      <c r="C63" s="10" t="s">
        <v>89</v>
      </c>
      <c r="D63" s="10" t="s">
        <v>90</v>
      </c>
      <c r="E63" s="10" t="n">
        <v>3</v>
      </c>
      <c r="F63" s="10" t="n">
        <v>100</v>
      </c>
      <c r="G63" s="10" t="n">
        <v>2</v>
      </c>
      <c r="H63" s="10" t="n">
        <v>2</v>
      </c>
      <c r="I63" s="10" t="n">
        <v>55</v>
      </c>
    </row>
    <row r="64" customFormat="false" ht="15" hidden="false" customHeight="false" outlineLevel="0" collapsed="false">
      <c r="A64" s="6" t="s">
        <v>63</v>
      </c>
      <c r="B64" s="10" t="n">
        <v>6</v>
      </c>
      <c r="C64" s="10" t="s">
        <v>89</v>
      </c>
      <c r="D64" s="10" t="s">
        <v>90</v>
      </c>
      <c r="E64" s="10" t="n">
        <v>3</v>
      </c>
      <c r="F64" s="10" t="n">
        <v>96</v>
      </c>
      <c r="G64" s="10" t="n">
        <v>1</v>
      </c>
      <c r="H64" s="10" t="n">
        <v>0</v>
      </c>
      <c r="I64" s="10" t="n">
        <v>70</v>
      </c>
    </row>
    <row r="65" customFormat="false" ht="15" hidden="false" customHeight="false" outlineLevel="0" collapsed="false">
      <c r="A65" s="6" t="s">
        <v>63</v>
      </c>
      <c r="B65" s="10" t="n">
        <v>7</v>
      </c>
      <c r="C65" s="10" t="s">
        <v>89</v>
      </c>
      <c r="D65" s="10" t="s">
        <v>90</v>
      </c>
      <c r="E65" s="10" t="n">
        <v>3</v>
      </c>
      <c r="F65" s="10" t="n">
        <v>100</v>
      </c>
      <c r="G65" s="10" t="n">
        <v>1</v>
      </c>
      <c r="H65" s="10" t="n">
        <v>1</v>
      </c>
      <c r="I65" s="10" t="n">
        <v>64</v>
      </c>
    </row>
    <row r="66" customFormat="false" ht="15" hidden="false" customHeight="false" outlineLevel="0" collapsed="false">
      <c r="A66" s="6" t="s">
        <v>64</v>
      </c>
      <c r="B66" s="10" t="n">
        <v>1</v>
      </c>
      <c r="C66" s="10" t="s">
        <v>89</v>
      </c>
      <c r="D66" s="10" t="s">
        <v>90</v>
      </c>
      <c r="E66" s="10"/>
      <c r="F66" s="10"/>
      <c r="G66" s="10" t="n">
        <v>1</v>
      </c>
      <c r="H66" s="10" t="n">
        <v>2</v>
      </c>
      <c r="I66" s="10" t="n">
        <v>95</v>
      </c>
    </row>
    <row r="67" customFormat="false" ht="15" hidden="false" customHeight="false" outlineLevel="0" collapsed="false">
      <c r="A67" s="6" t="s">
        <v>64</v>
      </c>
      <c r="B67" s="10" t="n">
        <v>2</v>
      </c>
      <c r="C67" s="10" t="s">
        <v>89</v>
      </c>
      <c r="D67" s="10" t="s">
        <v>89</v>
      </c>
      <c r="E67" s="10"/>
      <c r="F67" s="10"/>
      <c r="G67" s="10" t="n">
        <v>2</v>
      </c>
      <c r="H67" s="10" t="n">
        <v>2</v>
      </c>
      <c r="I67" s="10" t="n">
        <v>84</v>
      </c>
    </row>
    <row r="68" customFormat="false" ht="15" hidden="false" customHeight="false" outlineLevel="0" collapsed="false">
      <c r="A68" s="6" t="s">
        <v>64</v>
      </c>
      <c r="B68" s="10" t="n">
        <v>3</v>
      </c>
      <c r="C68" s="10" t="s">
        <v>89</v>
      </c>
      <c r="D68" s="10" t="s">
        <v>89</v>
      </c>
      <c r="E68" s="10"/>
      <c r="F68" s="10"/>
      <c r="G68" s="10" t="n">
        <v>1</v>
      </c>
      <c r="H68" s="10" t="n">
        <v>2</v>
      </c>
      <c r="I68" s="10" t="n">
        <v>47</v>
      </c>
    </row>
    <row r="69" customFormat="false" ht="15" hidden="false" customHeight="false" outlineLevel="0" collapsed="false">
      <c r="A69" s="6" t="s">
        <v>64</v>
      </c>
      <c r="B69" s="10" t="n">
        <v>4</v>
      </c>
      <c r="C69" s="10" t="s">
        <v>89</v>
      </c>
      <c r="D69" s="10" t="s">
        <v>90</v>
      </c>
      <c r="E69" s="10"/>
      <c r="F69" s="10"/>
      <c r="G69" s="10" t="n">
        <v>2</v>
      </c>
      <c r="H69" s="10" t="n">
        <v>5</v>
      </c>
      <c r="I69" s="10" t="n">
        <v>79</v>
      </c>
    </row>
    <row r="70" customFormat="false" ht="15" hidden="false" customHeight="false" outlineLevel="0" collapsed="false">
      <c r="A70" s="6" t="s">
        <v>64</v>
      </c>
      <c r="B70" s="10" t="n">
        <v>5</v>
      </c>
      <c r="C70" s="10" t="s">
        <v>89</v>
      </c>
      <c r="D70" s="10" t="s">
        <v>90</v>
      </c>
      <c r="E70" s="10" t="n">
        <v>1</v>
      </c>
      <c r="F70" s="10" t="n">
        <v>69</v>
      </c>
      <c r="G70" s="10" t="n">
        <v>1</v>
      </c>
      <c r="H70" s="10" t="n">
        <v>2</v>
      </c>
      <c r="I70" s="10" t="n">
        <v>70</v>
      </c>
    </row>
    <row r="71" customFormat="false" ht="15" hidden="false" customHeight="false" outlineLevel="0" collapsed="false">
      <c r="A71" s="6" t="s">
        <v>64</v>
      </c>
      <c r="B71" s="10" t="n">
        <v>6</v>
      </c>
      <c r="C71" s="10" t="s">
        <v>89</v>
      </c>
      <c r="D71" s="10" t="s">
        <v>90</v>
      </c>
      <c r="E71" s="10"/>
      <c r="F71" s="10"/>
      <c r="G71" s="10" t="n">
        <v>2</v>
      </c>
      <c r="H71" s="10" t="n">
        <v>3</v>
      </c>
      <c r="I71" s="10" t="n">
        <v>80</v>
      </c>
    </row>
    <row r="72" customFormat="false" ht="15" hidden="false" customHeight="false" outlineLevel="0" collapsed="false">
      <c r="A72" s="6" t="s">
        <v>64</v>
      </c>
      <c r="B72" s="10" t="n">
        <v>7</v>
      </c>
      <c r="C72" s="10" t="s">
        <v>89</v>
      </c>
      <c r="D72" s="10" t="s">
        <v>90</v>
      </c>
      <c r="E72" s="10"/>
      <c r="F72" s="10"/>
      <c r="G72" s="10" t="n">
        <v>1</v>
      </c>
      <c r="H72" s="10" t="n">
        <v>0</v>
      </c>
      <c r="I72" s="10" t="n">
        <v>60</v>
      </c>
    </row>
    <row r="73" customFormat="false" ht="15" hidden="false" customHeight="false" outlineLevel="0" collapsed="false">
      <c r="A73" s="6" t="s">
        <v>65</v>
      </c>
      <c r="B73" s="10" t="n">
        <v>1</v>
      </c>
      <c r="C73" s="10" t="s">
        <v>89</v>
      </c>
      <c r="D73" s="10" t="s">
        <v>90</v>
      </c>
      <c r="E73" s="10" t="n">
        <v>3</v>
      </c>
      <c r="F73" s="10" t="n">
        <v>99</v>
      </c>
      <c r="G73" s="10" t="n">
        <v>1</v>
      </c>
      <c r="H73" s="10" t="n">
        <v>1</v>
      </c>
      <c r="I73" s="10" t="n">
        <v>44</v>
      </c>
    </row>
    <row r="74" customFormat="false" ht="15" hidden="false" customHeight="false" outlineLevel="0" collapsed="false">
      <c r="A74" s="6" t="s">
        <v>65</v>
      </c>
      <c r="B74" s="10" t="n">
        <v>2</v>
      </c>
      <c r="C74" s="10" t="s">
        <v>89</v>
      </c>
      <c r="D74" s="10" t="s">
        <v>90</v>
      </c>
      <c r="E74" s="10" t="n">
        <v>3</v>
      </c>
      <c r="F74" s="10" t="n">
        <v>96</v>
      </c>
      <c r="G74" s="10" t="n">
        <v>1</v>
      </c>
      <c r="H74" s="10" t="n">
        <v>1</v>
      </c>
      <c r="I74" s="10" t="n">
        <v>64</v>
      </c>
    </row>
    <row r="75" customFormat="false" ht="15" hidden="false" customHeight="false" outlineLevel="0" collapsed="false">
      <c r="A75" s="6" t="s">
        <v>65</v>
      </c>
      <c r="B75" s="10" t="n">
        <v>3</v>
      </c>
      <c r="C75" s="10" t="s">
        <v>89</v>
      </c>
      <c r="D75" s="10" t="s">
        <v>90</v>
      </c>
      <c r="E75" s="10" t="n">
        <v>3</v>
      </c>
      <c r="F75" s="10" t="n">
        <v>100</v>
      </c>
      <c r="G75" s="10" t="n">
        <v>2</v>
      </c>
      <c r="H75" s="10" t="n">
        <v>2</v>
      </c>
      <c r="I75" s="10" t="n">
        <v>59</v>
      </c>
    </row>
    <row r="76" customFormat="false" ht="15" hidden="false" customHeight="false" outlineLevel="0" collapsed="false">
      <c r="A76" s="6" t="s">
        <v>65</v>
      </c>
      <c r="B76" s="10" t="n">
        <v>4</v>
      </c>
      <c r="C76" s="10" t="s">
        <v>89</v>
      </c>
      <c r="D76" s="10" t="s">
        <v>90</v>
      </c>
      <c r="E76" s="10" t="n">
        <v>2</v>
      </c>
      <c r="F76" s="10" t="n">
        <v>93</v>
      </c>
      <c r="G76" s="10" t="n">
        <v>1</v>
      </c>
      <c r="H76" s="10" t="n">
        <v>0</v>
      </c>
      <c r="I76" s="10" t="n">
        <v>57</v>
      </c>
    </row>
    <row r="77" customFormat="false" ht="15" hidden="false" customHeight="false" outlineLevel="0" collapsed="false">
      <c r="A77" s="6" t="s">
        <v>65</v>
      </c>
      <c r="B77" s="10" t="n">
        <v>5</v>
      </c>
      <c r="C77" s="10" t="s">
        <v>89</v>
      </c>
      <c r="D77" s="10" t="s">
        <v>90</v>
      </c>
      <c r="E77" s="10" t="n">
        <v>3</v>
      </c>
      <c r="F77" s="10" t="n">
        <v>99</v>
      </c>
      <c r="G77" s="10" t="n">
        <v>1</v>
      </c>
      <c r="H77" s="10" t="n">
        <v>1</v>
      </c>
      <c r="I77" s="10" t="n">
        <v>48</v>
      </c>
    </row>
    <row r="78" customFormat="false" ht="15" hidden="false" customHeight="false" outlineLevel="0" collapsed="false">
      <c r="A78" s="6" t="s">
        <v>65</v>
      </c>
      <c r="B78" s="10" t="n">
        <v>6</v>
      </c>
      <c r="C78" s="10" t="s">
        <v>89</v>
      </c>
      <c r="D78" s="10" t="s">
        <v>90</v>
      </c>
      <c r="E78" s="10" t="n">
        <v>2</v>
      </c>
      <c r="F78" s="10" t="n">
        <v>98</v>
      </c>
      <c r="G78" s="10" t="n">
        <v>1</v>
      </c>
      <c r="H78" s="10" t="n">
        <v>0</v>
      </c>
      <c r="I78" s="10" t="n">
        <v>67</v>
      </c>
    </row>
    <row r="79" customFormat="false" ht="15" hidden="false" customHeight="false" outlineLevel="0" collapsed="false">
      <c r="A79" s="6" t="s">
        <v>65</v>
      </c>
      <c r="B79" s="10" t="n">
        <v>7</v>
      </c>
      <c r="C79" s="10" t="s">
        <v>89</v>
      </c>
      <c r="D79" s="10" t="s">
        <v>90</v>
      </c>
      <c r="E79" s="10" t="n">
        <v>3</v>
      </c>
      <c r="F79" s="10" t="n">
        <v>99</v>
      </c>
      <c r="G79" s="10" t="n">
        <v>2</v>
      </c>
      <c r="H79" s="10" t="n">
        <v>0</v>
      </c>
      <c r="I79" s="10" t="n">
        <v>88</v>
      </c>
    </row>
    <row r="80" customFormat="false" ht="15" hidden="false" customHeight="false" outlineLevel="0" collapsed="false">
      <c r="A80" s="6" t="s">
        <v>66</v>
      </c>
      <c r="B80" s="10" t="n">
        <v>1</v>
      </c>
      <c r="C80" s="10" t="s">
        <v>89</v>
      </c>
      <c r="D80" s="10" t="s">
        <v>90</v>
      </c>
      <c r="E80" s="10" t="n">
        <v>2</v>
      </c>
      <c r="F80" s="10" t="n">
        <v>93</v>
      </c>
      <c r="G80" s="10" t="n">
        <v>2</v>
      </c>
      <c r="H80" s="10" t="n">
        <v>2</v>
      </c>
      <c r="I80" s="10" t="n">
        <v>87</v>
      </c>
    </row>
    <row r="81" customFormat="false" ht="15" hidden="false" customHeight="false" outlineLevel="0" collapsed="false">
      <c r="A81" s="6" t="s">
        <v>66</v>
      </c>
      <c r="B81" s="10" t="n">
        <v>2</v>
      </c>
      <c r="C81" s="10" t="s">
        <v>89</v>
      </c>
      <c r="D81" s="10" t="s">
        <v>90</v>
      </c>
      <c r="E81" s="10"/>
      <c r="F81" s="10"/>
      <c r="G81" s="10" t="n">
        <v>2</v>
      </c>
      <c r="H81" s="10" t="n">
        <v>0</v>
      </c>
      <c r="I81" s="10" t="n">
        <v>81</v>
      </c>
    </row>
    <row r="82" customFormat="false" ht="15" hidden="false" customHeight="false" outlineLevel="0" collapsed="false">
      <c r="A82" s="6" t="s">
        <v>66</v>
      </c>
      <c r="B82" s="10" t="n">
        <v>3</v>
      </c>
      <c r="C82" s="10" t="s">
        <v>89</v>
      </c>
      <c r="D82" s="10" t="s">
        <v>90</v>
      </c>
      <c r="E82" s="10" t="n">
        <v>3</v>
      </c>
      <c r="F82" s="10" t="n">
        <v>96</v>
      </c>
      <c r="G82" s="10" t="n">
        <v>1</v>
      </c>
      <c r="H82" s="10" t="n">
        <v>0</v>
      </c>
      <c r="I82" s="10" t="n">
        <v>70</v>
      </c>
    </row>
    <row r="83" customFormat="false" ht="15" hidden="false" customHeight="false" outlineLevel="0" collapsed="false">
      <c r="A83" s="6" t="s">
        <v>66</v>
      </c>
      <c r="B83" s="10" t="n">
        <v>4</v>
      </c>
      <c r="C83" s="10" t="s">
        <v>89</v>
      </c>
      <c r="D83" s="10" t="s">
        <v>90</v>
      </c>
      <c r="E83" s="10" t="n">
        <v>3</v>
      </c>
      <c r="F83" s="10" t="n">
        <v>98</v>
      </c>
      <c r="G83" s="10" t="n">
        <v>2</v>
      </c>
      <c r="H83" s="10" t="n">
        <v>1</v>
      </c>
      <c r="I83" s="10" t="n">
        <v>87</v>
      </c>
    </row>
    <row r="84" customFormat="false" ht="15" hidden="false" customHeight="false" outlineLevel="0" collapsed="false">
      <c r="A84" s="6" t="s">
        <v>66</v>
      </c>
      <c r="B84" s="10" t="n">
        <v>5</v>
      </c>
      <c r="C84" s="10" t="s">
        <v>89</v>
      </c>
      <c r="D84" s="10" t="s">
        <v>90</v>
      </c>
      <c r="E84" s="10" t="n">
        <v>3</v>
      </c>
      <c r="F84" s="10" t="n">
        <v>98</v>
      </c>
      <c r="G84" s="10" t="n">
        <v>1</v>
      </c>
      <c r="H84" s="10" t="n">
        <v>1</v>
      </c>
      <c r="I84" s="10" t="n">
        <v>59</v>
      </c>
    </row>
    <row r="85" customFormat="false" ht="15" hidden="false" customHeight="false" outlineLevel="0" collapsed="false">
      <c r="A85" s="6" t="s">
        <v>66</v>
      </c>
      <c r="B85" s="10" t="n">
        <v>6</v>
      </c>
      <c r="C85" s="10" t="s">
        <v>89</v>
      </c>
      <c r="D85" s="10" t="s">
        <v>90</v>
      </c>
      <c r="E85" s="10"/>
      <c r="F85" s="10"/>
      <c r="G85" s="10" t="n">
        <v>2</v>
      </c>
      <c r="H85" s="10" t="n">
        <v>1</v>
      </c>
      <c r="I85" s="10" t="n">
        <v>44</v>
      </c>
    </row>
    <row r="86" customFormat="false" ht="15" hidden="false" customHeight="false" outlineLevel="0" collapsed="false">
      <c r="A86" s="6" t="s">
        <v>66</v>
      </c>
      <c r="B86" s="10" t="n">
        <v>7</v>
      </c>
      <c r="C86" s="10" t="s">
        <v>89</v>
      </c>
      <c r="D86" s="10" t="s">
        <v>90</v>
      </c>
      <c r="E86" s="10" t="n">
        <v>3</v>
      </c>
      <c r="F86" s="10" t="n">
        <v>98</v>
      </c>
      <c r="G86" s="10" t="n">
        <v>1</v>
      </c>
      <c r="H86" s="10" t="n">
        <v>2</v>
      </c>
      <c r="I86" s="10" t="n">
        <v>76</v>
      </c>
    </row>
    <row r="87" customFormat="false" ht="15" hidden="false" customHeight="false" outlineLevel="0" collapsed="false">
      <c r="A87" s="6" t="s">
        <v>67</v>
      </c>
      <c r="B87" s="10" t="n">
        <v>1</v>
      </c>
      <c r="C87" s="10" t="s">
        <v>89</v>
      </c>
      <c r="D87" s="10" t="s">
        <v>90</v>
      </c>
      <c r="E87" s="10" t="n">
        <v>3</v>
      </c>
      <c r="F87" s="10" t="n">
        <v>100</v>
      </c>
      <c r="G87" s="10" t="n">
        <v>2</v>
      </c>
      <c r="H87" s="10" t="n">
        <v>0</v>
      </c>
      <c r="I87" s="10" t="n">
        <v>71</v>
      </c>
    </row>
    <row r="88" customFormat="false" ht="15" hidden="false" customHeight="false" outlineLevel="0" collapsed="false">
      <c r="A88" s="6" t="s">
        <v>67</v>
      </c>
      <c r="B88" s="10" t="n">
        <v>2</v>
      </c>
      <c r="C88" s="10" t="s">
        <v>89</v>
      </c>
      <c r="D88" s="10" t="s">
        <v>90</v>
      </c>
      <c r="E88" s="10" t="n">
        <v>2</v>
      </c>
      <c r="F88" s="10" t="n">
        <v>84</v>
      </c>
      <c r="G88" s="10" t="n">
        <v>2</v>
      </c>
      <c r="H88" s="10" t="n">
        <v>1</v>
      </c>
      <c r="I88" s="10" t="n">
        <v>81</v>
      </c>
    </row>
    <row r="89" customFormat="false" ht="15" hidden="false" customHeight="false" outlineLevel="0" collapsed="false">
      <c r="A89" s="6" t="s">
        <v>67</v>
      </c>
      <c r="B89" s="10" t="n">
        <v>3</v>
      </c>
      <c r="C89" s="10" t="s">
        <v>89</v>
      </c>
      <c r="D89" s="10" t="s">
        <v>90</v>
      </c>
      <c r="E89" s="10" t="n">
        <v>3</v>
      </c>
      <c r="F89" s="10" t="n">
        <v>99</v>
      </c>
      <c r="G89" s="10" t="n">
        <v>2</v>
      </c>
      <c r="H89" s="10" t="n">
        <v>0</v>
      </c>
      <c r="I89" s="10" t="n">
        <v>45</v>
      </c>
    </row>
    <row r="90" customFormat="false" ht="15" hidden="false" customHeight="false" outlineLevel="0" collapsed="false">
      <c r="A90" s="6" t="s">
        <v>67</v>
      </c>
      <c r="B90" s="10" t="n">
        <v>4</v>
      </c>
      <c r="C90" s="10" t="s">
        <v>89</v>
      </c>
      <c r="D90" s="10" t="s">
        <v>90</v>
      </c>
      <c r="E90" s="10" t="n">
        <v>3</v>
      </c>
      <c r="F90" s="10" t="n">
        <v>99</v>
      </c>
      <c r="G90" s="10" t="n">
        <v>2</v>
      </c>
      <c r="H90" s="10" t="n">
        <v>2</v>
      </c>
      <c r="I90" s="10" t="n">
        <v>51</v>
      </c>
    </row>
    <row r="91" customFormat="false" ht="15" hidden="false" customHeight="false" outlineLevel="0" collapsed="false">
      <c r="A91" s="6" t="s">
        <v>67</v>
      </c>
      <c r="B91" s="10" t="n">
        <v>5</v>
      </c>
      <c r="C91" s="10" t="s">
        <v>89</v>
      </c>
      <c r="D91" s="10" t="s">
        <v>90</v>
      </c>
      <c r="E91" s="10" t="n">
        <v>3</v>
      </c>
      <c r="F91" s="10" t="n">
        <v>100</v>
      </c>
      <c r="G91" s="10" t="n">
        <v>2</v>
      </c>
      <c r="H91" s="10" t="n">
        <v>2</v>
      </c>
      <c r="I91" s="10" t="n">
        <v>52</v>
      </c>
    </row>
    <row r="92" customFormat="false" ht="15" hidden="false" customHeight="false" outlineLevel="0" collapsed="false">
      <c r="A92" s="6" t="s">
        <v>67</v>
      </c>
      <c r="B92" s="10" t="n">
        <v>6</v>
      </c>
      <c r="C92" s="10" t="s">
        <v>89</v>
      </c>
      <c r="D92" s="10" t="s">
        <v>90</v>
      </c>
      <c r="E92" s="10" t="n">
        <v>2</v>
      </c>
      <c r="F92" s="10" t="n">
        <v>95</v>
      </c>
      <c r="G92" s="10" t="n">
        <v>2</v>
      </c>
      <c r="H92" s="10" t="n">
        <v>0</v>
      </c>
      <c r="I92" s="10" t="n">
        <v>58</v>
      </c>
    </row>
    <row r="93" customFormat="false" ht="15" hidden="false" customHeight="false" outlineLevel="0" collapsed="false">
      <c r="A93" s="6" t="s">
        <v>67</v>
      </c>
      <c r="B93" s="10" t="n">
        <v>7</v>
      </c>
      <c r="C93" s="10" t="s">
        <v>89</v>
      </c>
      <c r="D93" s="10" t="s">
        <v>90</v>
      </c>
      <c r="E93" s="10" t="n">
        <v>3</v>
      </c>
      <c r="F93" s="10" t="n">
        <v>99</v>
      </c>
      <c r="G93" s="10" t="n">
        <v>2</v>
      </c>
      <c r="H93" s="10" t="n">
        <v>1</v>
      </c>
      <c r="I93" s="10" t="n">
        <v>61</v>
      </c>
    </row>
    <row r="94" customFormat="false" ht="15" hidden="false" customHeight="false" outlineLevel="0" collapsed="false">
      <c r="A94" s="6" t="s">
        <v>68</v>
      </c>
      <c r="B94" s="10" t="n">
        <v>1</v>
      </c>
      <c r="C94" s="10" t="s">
        <v>89</v>
      </c>
      <c r="D94" s="10" t="s">
        <v>90</v>
      </c>
      <c r="E94" s="10" t="n">
        <v>3</v>
      </c>
      <c r="F94" s="10" t="n">
        <v>97</v>
      </c>
      <c r="G94" s="10" t="n">
        <v>2</v>
      </c>
      <c r="H94" s="10" t="n">
        <v>1</v>
      </c>
      <c r="I94" s="10" t="n">
        <v>88</v>
      </c>
    </row>
    <row r="95" customFormat="false" ht="15" hidden="false" customHeight="false" outlineLevel="0" collapsed="false">
      <c r="A95" s="6" t="s">
        <v>68</v>
      </c>
      <c r="B95" s="10" t="n">
        <v>2</v>
      </c>
      <c r="C95" s="10" t="s">
        <v>89</v>
      </c>
      <c r="D95" s="10" t="s">
        <v>90</v>
      </c>
      <c r="E95" s="10"/>
      <c r="F95" s="10"/>
      <c r="G95" s="10" t="n">
        <v>2</v>
      </c>
      <c r="H95" s="10" t="n">
        <v>5</v>
      </c>
      <c r="I95" s="10" t="n">
        <v>73</v>
      </c>
    </row>
    <row r="96" customFormat="false" ht="15" hidden="false" customHeight="false" outlineLevel="0" collapsed="false">
      <c r="A96" s="6" t="s">
        <v>68</v>
      </c>
      <c r="B96" s="10" t="n">
        <v>3</v>
      </c>
      <c r="C96" s="10" t="s">
        <v>89</v>
      </c>
      <c r="D96" s="10" t="s">
        <v>90</v>
      </c>
      <c r="E96" s="10"/>
      <c r="F96" s="10"/>
      <c r="G96" s="10" t="n">
        <v>2</v>
      </c>
      <c r="H96" s="10" t="n">
        <v>0</v>
      </c>
      <c r="I96" s="10" t="n">
        <v>40</v>
      </c>
    </row>
    <row r="97" customFormat="false" ht="15" hidden="false" customHeight="false" outlineLevel="0" collapsed="false">
      <c r="A97" s="6" t="s">
        <v>68</v>
      </c>
      <c r="B97" s="10" t="n">
        <v>4</v>
      </c>
      <c r="C97" s="10" t="s">
        <v>89</v>
      </c>
      <c r="D97" s="10" t="s">
        <v>90</v>
      </c>
      <c r="E97" s="10" t="n">
        <v>3</v>
      </c>
      <c r="F97" s="10" t="n">
        <v>98</v>
      </c>
      <c r="G97" s="10" t="n">
        <v>1</v>
      </c>
      <c r="H97" s="10" t="n">
        <v>1</v>
      </c>
      <c r="I97" s="10" t="n">
        <v>88</v>
      </c>
    </row>
    <row r="98" customFormat="false" ht="15" hidden="false" customHeight="false" outlineLevel="0" collapsed="false">
      <c r="A98" s="6" t="s">
        <v>68</v>
      </c>
      <c r="B98" s="10" t="n">
        <v>5</v>
      </c>
      <c r="C98" s="10" t="s">
        <v>89</v>
      </c>
      <c r="D98" s="10" t="s">
        <v>90</v>
      </c>
      <c r="E98" s="10" t="n">
        <v>3</v>
      </c>
      <c r="F98" s="10" t="n">
        <v>99</v>
      </c>
      <c r="G98" s="10" t="n">
        <v>2</v>
      </c>
      <c r="H98" s="10" t="n">
        <v>0</v>
      </c>
      <c r="I98" s="10" t="n">
        <v>95</v>
      </c>
    </row>
    <row r="99" customFormat="false" ht="15" hidden="false" customHeight="false" outlineLevel="0" collapsed="false">
      <c r="A99" s="6" t="s">
        <v>68</v>
      </c>
      <c r="B99" s="10" t="n">
        <v>6</v>
      </c>
      <c r="C99" s="10" t="s">
        <v>89</v>
      </c>
      <c r="D99" s="10" t="s">
        <v>90</v>
      </c>
      <c r="E99" s="10" t="n">
        <v>3</v>
      </c>
      <c r="F99" s="10" t="n">
        <v>96</v>
      </c>
      <c r="G99" s="10" t="n">
        <v>1</v>
      </c>
      <c r="H99" s="10" t="n">
        <v>0</v>
      </c>
      <c r="I99" s="10" t="n">
        <v>76</v>
      </c>
    </row>
    <row r="100" customFormat="false" ht="15" hidden="false" customHeight="false" outlineLevel="0" collapsed="false">
      <c r="A100" s="6" t="s">
        <v>68</v>
      </c>
      <c r="B100" s="10" t="n">
        <v>7</v>
      </c>
      <c r="C100" s="10" t="s">
        <v>89</v>
      </c>
      <c r="D100" s="10" t="s">
        <v>89</v>
      </c>
      <c r="E100" s="10"/>
      <c r="F100" s="10"/>
      <c r="G100" s="10" t="n">
        <v>1</v>
      </c>
      <c r="H100" s="10" t="n">
        <v>0</v>
      </c>
      <c r="I100" s="10" t="n">
        <v>88</v>
      </c>
    </row>
    <row r="101" customFormat="false" ht="15" hidden="false" customHeight="false" outlineLevel="0" collapsed="false">
      <c r="A101" s="6" t="s">
        <v>69</v>
      </c>
      <c r="B101" s="10" t="n">
        <v>1</v>
      </c>
      <c r="C101" s="10" t="s">
        <v>89</v>
      </c>
      <c r="D101" s="10" t="s">
        <v>90</v>
      </c>
      <c r="E101" s="10"/>
      <c r="F101" s="10"/>
      <c r="G101" s="10" t="n">
        <v>2</v>
      </c>
      <c r="H101" s="10" t="n">
        <v>2</v>
      </c>
      <c r="I101" s="10" t="n">
        <v>95</v>
      </c>
    </row>
    <row r="102" customFormat="false" ht="15" hidden="false" customHeight="false" outlineLevel="0" collapsed="false">
      <c r="A102" s="6" t="s">
        <v>69</v>
      </c>
      <c r="B102" s="10" t="n">
        <v>2</v>
      </c>
      <c r="C102" s="10" t="s">
        <v>89</v>
      </c>
      <c r="D102" s="10" t="s">
        <v>90</v>
      </c>
      <c r="E102" s="10" t="n">
        <v>3</v>
      </c>
      <c r="F102" s="10" t="n">
        <v>96</v>
      </c>
      <c r="G102" s="10" t="n">
        <v>1</v>
      </c>
      <c r="H102" s="10" t="n">
        <v>1</v>
      </c>
      <c r="I102" s="10" t="n">
        <v>56</v>
      </c>
    </row>
    <row r="103" customFormat="false" ht="15" hidden="false" customHeight="false" outlineLevel="0" collapsed="false">
      <c r="A103" s="6" t="s">
        <v>69</v>
      </c>
      <c r="B103" s="10" t="n">
        <v>3</v>
      </c>
      <c r="C103" s="10" t="s">
        <v>89</v>
      </c>
      <c r="D103" s="10" t="s">
        <v>90</v>
      </c>
      <c r="E103" s="10" t="n">
        <v>3</v>
      </c>
      <c r="F103" s="10" t="n">
        <v>96</v>
      </c>
      <c r="G103" s="10" t="n">
        <v>2</v>
      </c>
      <c r="H103" s="10" t="n">
        <v>2</v>
      </c>
      <c r="I103" s="10" t="n">
        <v>58</v>
      </c>
    </row>
    <row r="104" customFormat="false" ht="15" hidden="false" customHeight="false" outlineLevel="0" collapsed="false">
      <c r="A104" s="6" t="s">
        <v>69</v>
      </c>
      <c r="B104" s="10" t="n">
        <v>4</v>
      </c>
      <c r="C104" s="10" t="s">
        <v>90</v>
      </c>
      <c r="D104" s="10" t="s">
        <v>90</v>
      </c>
      <c r="E104" s="10"/>
      <c r="F104" s="10"/>
      <c r="G104" s="10" t="n">
        <v>2</v>
      </c>
      <c r="H104" s="10" t="n">
        <v>4</v>
      </c>
      <c r="I104" s="10" t="n">
        <v>69</v>
      </c>
    </row>
    <row r="105" customFormat="false" ht="15" hidden="false" customHeight="false" outlineLevel="0" collapsed="false">
      <c r="A105" s="6" t="s">
        <v>69</v>
      </c>
      <c r="B105" s="10" t="n">
        <v>5</v>
      </c>
      <c r="C105" s="10" t="s">
        <v>90</v>
      </c>
      <c r="D105" s="10" t="s">
        <v>90</v>
      </c>
      <c r="E105" s="10"/>
      <c r="F105" s="10"/>
      <c r="G105" s="10" t="n">
        <v>1</v>
      </c>
      <c r="H105" s="10" t="n">
        <v>2</v>
      </c>
      <c r="I105" s="10" t="n">
        <v>90</v>
      </c>
    </row>
    <row r="106" customFormat="false" ht="15" hidden="false" customHeight="false" outlineLevel="0" collapsed="false">
      <c r="A106" s="6" t="s">
        <v>69</v>
      </c>
      <c r="B106" s="10" t="n">
        <v>6</v>
      </c>
      <c r="C106" s="10" t="s">
        <v>89</v>
      </c>
      <c r="D106" s="10" t="s">
        <v>90</v>
      </c>
      <c r="E106" s="10"/>
      <c r="F106" s="10"/>
      <c r="G106" s="10" t="n">
        <v>1</v>
      </c>
      <c r="H106" s="10" t="n">
        <v>1</v>
      </c>
      <c r="I106" s="10" t="n">
        <v>74</v>
      </c>
    </row>
    <row r="107" customFormat="false" ht="15" hidden="false" customHeight="false" outlineLevel="0" collapsed="false">
      <c r="A107" s="6" t="s">
        <v>69</v>
      </c>
      <c r="B107" s="10" t="n">
        <v>7</v>
      </c>
      <c r="C107" s="10" t="s">
        <v>89</v>
      </c>
      <c r="D107" s="10" t="s">
        <v>90</v>
      </c>
      <c r="E107" s="10" t="n">
        <v>3</v>
      </c>
      <c r="F107" s="10" t="n">
        <v>96</v>
      </c>
      <c r="G107" s="10" t="n">
        <v>1</v>
      </c>
      <c r="H107" s="10" t="n">
        <v>2</v>
      </c>
      <c r="I107" s="10" t="n">
        <v>78</v>
      </c>
    </row>
    <row r="108" customFormat="false" ht="15" hidden="false" customHeight="false" outlineLevel="0" collapsed="false">
      <c r="A108" s="6" t="s">
        <v>70</v>
      </c>
      <c r="B108" s="10" t="n">
        <v>1</v>
      </c>
      <c r="C108" s="10" t="s">
        <v>89</v>
      </c>
      <c r="D108" s="10" t="s">
        <v>90</v>
      </c>
      <c r="E108" s="10" t="n">
        <v>3</v>
      </c>
      <c r="F108" s="10" t="n">
        <v>96</v>
      </c>
      <c r="G108" s="10" t="n">
        <v>2</v>
      </c>
      <c r="H108" s="10" t="n">
        <v>2</v>
      </c>
      <c r="I108" s="10" t="n">
        <v>57</v>
      </c>
    </row>
    <row r="109" customFormat="false" ht="15" hidden="false" customHeight="false" outlineLevel="0" collapsed="false">
      <c r="A109" s="6" t="s">
        <v>70</v>
      </c>
      <c r="B109" s="10" t="n">
        <v>2</v>
      </c>
      <c r="C109" s="10" t="s">
        <v>89</v>
      </c>
      <c r="D109" s="10" t="s">
        <v>90</v>
      </c>
      <c r="E109" s="10" t="n">
        <v>3</v>
      </c>
      <c r="F109" s="10" t="n">
        <v>96</v>
      </c>
      <c r="G109" s="10" t="n">
        <v>2</v>
      </c>
      <c r="H109" s="10" t="n">
        <v>2</v>
      </c>
      <c r="I109" s="10" t="n">
        <v>41</v>
      </c>
    </row>
    <row r="110" customFormat="false" ht="15" hidden="false" customHeight="false" outlineLevel="0" collapsed="false">
      <c r="A110" s="6" t="s">
        <v>70</v>
      </c>
      <c r="B110" s="10" t="n">
        <v>3</v>
      </c>
      <c r="C110" s="10" t="s">
        <v>89</v>
      </c>
      <c r="D110" s="10" t="s">
        <v>90</v>
      </c>
      <c r="E110" s="10" t="n">
        <v>2</v>
      </c>
      <c r="F110" s="10" t="n">
        <v>98</v>
      </c>
      <c r="G110" s="10" t="n">
        <v>1</v>
      </c>
      <c r="H110" s="10" t="n">
        <v>2</v>
      </c>
      <c r="I110" s="10" t="n">
        <v>83</v>
      </c>
    </row>
    <row r="111" customFormat="false" ht="15" hidden="false" customHeight="false" outlineLevel="0" collapsed="false">
      <c r="A111" s="6" t="s">
        <v>70</v>
      </c>
      <c r="B111" s="10" t="n">
        <v>4</v>
      </c>
      <c r="C111" s="10" t="s">
        <v>89</v>
      </c>
      <c r="D111" s="10" t="s">
        <v>90</v>
      </c>
      <c r="E111" s="10" t="n">
        <v>2</v>
      </c>
      <c r="F111" s="10" t="n">
        <v>85</v>
      </c>
      <c r="G111" s="10" t="n">
        <v>2</v>
      </c>
      <c r="H111" s="10" t="n">
        <v>1</v>
      </c>
      <c r="I111" s="10" t="n">
        <v>57</v>
      </c>
    </row>
    <row r="112" customFormat="false" ht="15" hidden="false" customHeight="false" outlineLevel="0" collapsed="false">
      <c r="A112" s="6" t="s">
        <v>70</v>
      </c>
      <c r="B112" s="10" t="n">
        <v>5</v>
      </c>
      <c r="C112" s="10" t="s">
        <v>89</v>
      </c>
      <c r="D112" s="10" t="s">
        <v>90</v>
      </c>
      <c r="E112" s="10" t="n">
        <v>3</v>
      </c>
      <c r="F112" s="10" t="n">
        <v>99</v>
      </c>
      <c r="G112" s="10" t="n">
        <v>1</v>
      </c>
      <c r="H112" s="10" t="n">
        <v>0</v>
      </c>
      <c r="I112" s="10" t="n">
        <v>66</v>
      </c>
    </row>
    <row r="113" customFormat="false" ht="15" hidden="false" customHeight="false" outlineLevel="0" collapsed="false">
      <c r="A113" s="6" t="s">
        <v>70</v>
      </c>
      <c r="B113" s="10" t="n">
        <v>6</v>
      </c>
      <c r="C113" s="10" t="s">
        <v>89</v>
      </c>
      <c r="D113" s="10" t="s">
        <v>90</v>
      </c>
      <c r="E113" s="10" t="n">
        <v>2</v>
      </c>
      <c r="F113" s="10" t="n">
        <v>90</v>
      </c>
      <c r="G113" s="10" t="n">
        <v>2</v>
      </c>
      <c r="H113" s="10" t="n">
        <v>1</v>
      </c>
      <c r="I113" s="10" t="n">
        <v>65</v>
      </c>
    </row>
    <row r="114" customFormat="false" ht="15" hidden="false" customHeight="false" outlineLevel="0" collapsed="false">
      <c r="A114" s="6" t="s">
        <v>70</v>
      </c>
      <c r="B114" s="10" t="n">
        <v>7</v>
      </c>
      <c r="C114" s="10" t="s">
        <v>89</v>
      </c>
      <c r="D114" s="10" t="s">
        <v>90</v>
      </c>
      <c r="E114" s="10" t="n">
        <v>3</v>
      </c>
      <c r="F114" s="10" t="n">
        <v>98</v>
      </c>
      <c r="G114" s="10" t="n">
        <v>2</v>
      </c>
      <c r="H114" s="10" t="n">
        <v>2</v>
      </c>
      <c r="I114" s="10" t="n">
        <v>65</v>
      </c>
    </row>
    <row r="115" customFormat="false" ht="15" hidden="false" customHeight="false" outlineLevel="0" collapsed="false">
      <c r="A115" s="6" t="s">
        <v>71</v>
      </c>
      <c r="B115" s="10" t="n">
        <v>1</v>
      </c>
      <c r="C115" s="10" t="s">
        <v>89</v>
      </c>
      <c r="D115" s="10" t="s">
        <v>90</v>
      </c>
      <c r="E115" s="10" t="n">
        <v>3</v>
      </c>
      <c r="F115" s="10" t="n">
        <v>100</v>
      </c>
      <c r="G115" s="10" t="n">
        <v>2</v>
      </c>
      <c r="H115" s="10" t="n">
        <v>0</v>
      </c>
      <c r="I115" s="10" t="n">
        <v>63</v>
      </c>
    </row>
    <row r="116" customFormat="false" ht="15" hidden="false" customHeight="false" outlineLevel="0" collapsed="false">
      <c r="A116" s="6" t="s">
        <v>71</v>
      </c>
      <c r="B116" s="10" t="n">
        <v>2</v>
      </c>
      <c r="C116" s="10" t="s">
        <v>89</v>
      </c>
      <c r="D116" s="10" t="s">
        <v>90</v>
      </c>
      <c r="E116" s="10" t="n">
        <v>3</v>
      </c>
      <c r="F116" s="10" t="n">
        <v>96</v>
      </c>
      <c r="G116" s="10" t="n">
        <v>1</v>
      </c>
      <c r="H116" s="10" t="n">
        <v>0</v>
      </c>
      <c r="I116" s="10" t="n">
        <v>48</v>
      </c>
    </row>
    <row r="117" customFormat="false" ht="15" hidden="false" customHeight="false" outlineLevel="0" collapsed="false">
      <c r="A117" s="6" t="s">
        <v>71</v>
      </c>
      <c r="B117" s="10" t="n">
        <v>3</v>
      </c>
      <c r="C117" s="10" t="s">
        <v>89</v>
      </c>
      <c r="D117" s="10" t="s">
        <v>90</v>
      </c>
      <c r="E117" s="10" t="n">
        <v>2</v>
      </c>
      <c r="F117" s="10" t="n">
        <v>83</v>
      </c>
      <c r="G117" s="10" t="n">
        <v>1</v>
      </c>
      <c r="H117" s="10" t="n">
        <v>2</v>
      </c>
      <c r="I117" s="10" t="n">
        <v>78</v>
      </c>
    </row>
    <row r="118" customFormat="false" ht="15" hidden="false" customHeight="false" outlineLevel="0" collapsed="false">
      <c r="A118" s="6" t="s">
        <v>71</v>
      </c>
      <c r="B118" s="10" t="n">
        <v>4</v>
      </c>
      <c r="C118" s="10" t="s">
        <v>89</v>
      </c>
      <c r="D118" s="10" t="s">
        <v>90</v>
      </c>
      <c r="E118" s="10" t="n">
        <v>3</v>
      </c>
      <c r="F118" s="10" t="n">
        <v>96</v>
      </c>
      <c r="G118" s="10" t="n">
        <v>2</v>
      </c>
      <c r="H118" s="10" t="n">
        <v>2</v>
      </c>
      <c r="I118" s="10" t="n">
        <v>47</v>
      </c>
    </row>
    <row r="119" customFormat="false" ht="15" hidden="false" customHeight="false" outlineLevel="0" collapsed="false">
      <c r="A119" s="6" t="s">
        <v>71</v>
      </c>
      <c r="B119" s="10" t="n">
        <v>5</v>
      </c>
      <c r="C119" s="10" t="s">
        <v>89</v>
      </c>
      <c r="D119" s="10" t="s">
        <v>90</v>
      </c>
      <c r="E119" s="10" t="n">
        <v>2</v>
      </c>
      <c r="F119" s="10" t="n">
        <v>95</v>
      </c>
      <c r="G119" s="10" t="n">
        <v>2</v>
      </c>
      <c r="H119" s="10" t="n">
        <v>1</v>
      </c>
      <c r="I119" s="10" t="n">
        <v>93</v>
      </c>
    </row>
    <row r="120" customFormat="false" ht="15" hidden="false" customHeight="false" outlineLevel="0" collapsed="false">
      <c r="A120" s="6" t="s">
        <v>71</v>
      </c>
      <c r="B120" s="10" t="n">
        <v>6</v>
      </c>
      <c r="C120" s="10" t="s">
        <v>89</v>
      </c>
      <c r="D120" s="10" t="s">
        <v>90</v>
      </c>
      <c r="E120" s="10" t="n">
        <v>3</v>
      </c>
      <c r="F120" s="10" t="n">
        <v>97</v>
      </c>
      <c r="G120" s="10" t="n">
        <v>2</v>
      </c>
      <c r="H120" s="10" t="n">
        <v>1</v>
      </c>
      <c r="I120" s="10" t="n">
        <v>87</v>
      </c>
    </row>
    <row r="121" customFormat="false" ht="15" hidden="false" customHeight="false" outlineLevel="0" collapsed="false">
      <c r="A121" s="6" t="s">
        <v>71</v>
      </c>
      <c r="B121" s="10" t="n">
        <v>7</v>
      </c>
      <c r="C121" s="10" t="s">
        <v>89</v>
      </c>
      <c r="D121" s="10" t="s">
        <v>90</v>
      </c>
      <c r="E121" s="10" t="n">
        <v>3</v>
      </c>
      <c r="F121" s="10" t="n">
        <v>99</v>
      </c>
      <c r="G121" s="10" t="n">
        <v>2</v>
      </c>
      <c r="H121" s="10" t="n">
        <v>3</v>
      </c>
      <c r="I121" s="10" t="n">
        <v>92</v>
      </c>
    </row>
    <row r="122" customFormat="false" ht="15" hidden="false" customHeight="false" outlineLevel="0" collapsed="false">
      <c r="A122" s="6" t="s">
        <v>72</v>
      </c>
      <c r="B122" s="10" t="n">
        <v>1</v>
      </c>
      <c r="C122" s="10" t="s">
        <v>90</v>
      </c>
      <c r="D122" s="10" t="s">
        <v>90</v>
      </c>
      <c r="E122" s="10"/>
      <c r="F122" s="10"/>
      <c r="G122" s="10" t="n">
        <v>2</v>
      </c>
      <c r="H122" s="10" t="n">
        <v>3</v>
      </c>
      <c r="I122" s="10" t="n">
        <v>82</v>
      </c>
    </row>
    <row r="123" customFormat="false" ht="15" hidden="false" customHeight="false" outlineLevel="0" collapsed="false">
      <c r="A123" s="6" t="s">
        <v>72</v>
      </c>
      <c r="B123" s="10" t="n">
        <v>2</v>
      </c>
      <c r="C123" s="10" t="s">
        <v>89</v>
      </c>
      <c r="D123" s="10" t="s">
        <v>90</v>
      </c>
      <c r="E123" s="10" t="n">
        <v>3</v>
      </c>
      <c r="F123" s="10" t="n">
        <v>100</v>
      </c>
      <c r="G123" s="10" t="n">
        <v>2</v>
      </c>
      <c r="H123" s="10" t="n">
        <v>1</v>
      </c>
      <c r="I123" s="10" t="n">
        <v>52</v>
      </c>
    </row>
    <row r="124" customFormat="false" ht="15" hidden="false" customHeight="false" outlineLevel="0" collapsed="false">
      <c r="A124" s="6" t="s">
        <v>72</v>
      </c>
      <c r="B124" s="10" t="n">
        <v>3</v>
      </c>
      <c r="C124" s="10" t="s">
        <v>89</v>
      </c>
      <c r="D124" s="10" t="s">
        <v>90</v>
      </c>
      <c r="E124" s="10" t="n">
        <v>2</v>
      </c>
      <c r="F124" s="10" t="n">
        <v>93</v>
      </c>
      <c r="G124" s="10" t="n">
        <v>1</v>
      </c>
      <c r="H124" s="10" t="n">
        <v>0</v>
      </c>
      <c r="I124" s="10" t="n">
        <v>70</v>
      </c>
    </row>
    <row r="125" customFormat="false" ht="15" hidden="false" customHeight="false" outlineLevel="0" collapsed="false">
      <c r="A125" s="6" t="s">
        <v>72</v>
      </c>
      <c r="B125" s="10" t="n">
        <v>4</v>
      </c>
      <c r="C125" s="10" t="s">
        <v>89</v>
      </c>
      <c r="D125" s="10" t="s">
        <v>90</v>
      </c>
      <c r="E125" s="10" t="n">
        <v>2</v>
      </c>
      <c r="F125" s="10" t="n">
        <v>84</v>
      </c>
      <c r="G125" s="10" t="n">
        <v>2</v>
      </c>
      <c r="H125" s="10" t="n">
        <v>2</v>
      </c>
      <c r="I125" s="10" t="n">
        <v>77</v>
      </c>
    </row>
    <row r="126" customFormat="false" ht="15" hidden="false" customHeight="false" outlineLevel="0" collapsed="false">
      <c r="A126" s="6" t="s">
        <v>72</v>
      </c>
      <c r="B126" s="10" t="n">
        <v>5</v>
      </c>
      <c r="C126" s="10" t="s">
        <v>89</v>
      </c>
      <c r="D126" s="10" t="s">
        <v>89</v>
      </c>
      <c r="E126" s="10"/>
      <c r="F126" s="10"/>
      <c r="G126" s="10" t="n">
        <v>2</v>
      </c>
      <c r="H126" s="10" t="n">
        <v>2</v>
      </c>
      <c r="I126" s="10" t="n">
        <v>40</v>
      </c>
    </row>
    <row r="127" customFormat="false" ht="15" hidden="false" customHeight="false" outlineLevel="0" collapsed="false">
      <c r="A127" s="6" t="s">
        <v>72</v>
      </c>
      <c r="B127" s="10" t="n">
        <v>6</v>
      </c>
      <c r="C127" s="10" t="s">
        <v>89</v>
      </c>
      <c r="D127" s="10" t="s">
        <v>90</v>
      </c>
      <c r="E127" s="10" t="n">
        <v>3</v>
      </c>
      <c r="F127" s="10" t="n">
        <v>99</v>
      </c>
      <c r="G127" s="10" t="n">
        <v>2</v>
      </c>
      <c r="H127" s="10" t="n">
        <v>1</v>
      </c>
      <c r="I127" s="10" t="n">
        <v>81</v>
      </c>
    </row>
    <row r="128" customFormat="false" ht="15" hidden="false" customHeight="false" outlineLevel="0" collapsed="false">
      <c r="A128" s="6" t="s">
        <v>72</v>
      </c>
      <c r="B128" s="10" t="n">
        <v>7</v>
      </c>
      <c r="C128" s="10" t="s">
        <v>90</v>
      </c>
      <c r="D128" s="10" t="s">
        <v>90</v>
      </c>
      <c r="E128" s="10"/>
      <c r="F128" s="10"/>
      <c r="G128" s="10" t="n">
        <v>2</v>
      </c>
      <c r="H128" s="10" t="n">
        <v>4</v>
      </c>
      <c r="I128" s="10" t="n">
        <v>64</v>
      </c>
    </row>
    <row r="129" customFormat="false" ht="15" hidden="false" customHeight="false" outlineLevel="0" collapsed="false">
      <c r="A129" s="6" t="s">
        <v>73</v>
      </c>
      <c r="B129" s="10" t="n">
        <v>1</v>
      </c>
      <c r="C129" s="10" t="s">
        <v>89</v>
      </c>
      <c r="D129" s="10" t="s">
        <v>90</v>
      </c>
      <c r="E129" s="10"/>
      <c r="F129" s="10"/>
      <c r="G129" s="10" t="n">
        <v>2</v>
      </c>
      <c r="H129" s="10" t="n">
        <v>2</v>
      </c>
      <c r="I129" s="10" t="n">
        <v>44</v>
      </c>
    </row>
    <row r="130" customFormat="false" ht="15" hidden="false" customHeight="false" outlineLevel="0" collapsed="false">
      <c r="A130" s="6" t="s">
        <v>73</v>
      </c>
      <c r="B130" s="10" t="n">
        <v>2</v>
      </c>
      <c r="C130" s="10" t="s">
        <v>89</v>
      </c>
      <c r="D130" s="10" t="s">
        <v>90</v>
      </c>
      <c r="E130" s="10" t="n">
        <v>3</v>
      </c>
      <c r="F130" s="10" t="n">
        <v>96</v>
      </c>
      <c r="G130" s="10" t="n">
        <v>2</v>
      </c>
      <c r="H130" s="10" t="n">
        <v>5</v>
      </c>
      <c r="I130" s="10" t="n">
        <v>85</v>
      </c>
    </row>
    <row r="131" customFormat="false" ht="15" hidden="false" customHeight="false" outlineLevel="0" collapsed="false">
      <c r="A131" s="6" t="s">
        <v>73</v>
      </c>
      <c r="B131" s="10" t="n">
        <v>3</v>
      </c>
      <c r="C131" s="10" t="s">
        <v>89</v>
      </c>
      <c r="D131" s="10" t="s">
        <v>90</v>
      </c>
      <c r="E131" s="10" t="n">
        <v>1</v>
      </c>
      <c r="F131" s="10" t="n">
        <v>56</v>
      </c>
      <c r="G131" s="10" t="n">
        <v>2</v>
      </c>
      <c r="H131" s="10" t="n">
        <v>2</v>
      </c>
      <c r="I131" s="10" t="n">
        <v>63</v>
      </c>
    </row>
    <row r="132" customFormat="false" ht="15" hidden="false" customHeight="false" outlineLevel="0" collapsed="false">
      <c r="A132" s="6" t="s">
        <v>73</v>
      </c>
      <c r="B132" s="10" t="n">
        <v>4</v>
      </c>
      <c r="C132" s="10" t="s">
        <v>89</v>
      </c>
      <c r="D132" s="10" t="s">
        <v>90</v>
      </c>
      <c r="E132" s="10" t="n">
        <v>2</v>
      </c>
      <c r="F132" s="10" t="n">
        <v>85</v>
      </c>
      <c r="G132" s="10" t="n">
        <v>1</v>
      </c>
      <c r="H132" s="10" t="n">
        <v>0</v>
      </c>
      <c r="I132" s="10" t="n">
        <v>79</v>
      </c>
    </row>
    <row r="133" customFormat="false" ht="15" hidden="false" customHeight="false" outlineLevel="0" collapsed="false">
      <c r="A133" s="6" t="s">
        <v>73</v>
      </c>
      <c r="B133" s="10" t="n">
        <v>5</v>
      </c>
      <c r="C133" s="10" t="s">
        <v>89</v>
      </c>
      <c r="D133" s="10" t="s">
        <v>90</v>
      </c>
      <c r="E133" s="10" t="n">
        <v>1</v>
      </c>
      <c r="F133" s="10" t="n">
        <v>59</v>
      </c>
      <c r="G133" s="10" t="n">
        <v>1</v>
      </c>
      <c r="H133" s="10" t="n">
        <v>1</v>
      </c>
      <c r="I133" s="10" t="n">
        <v>56</v>
      </c>
    </row>
    <row r="134" customFormat="false" ht="15" hidden="false" customHeight="false" outlineLevel="0" collapsed="false">
      <c r="A134" s="6" t="s">
        <v>73</v>
      </c>
      <c r="B134" s="10" t="n">
        <v>6</v>
      </c>
      <c r="C134" s="10" t="s">
        <v>89</v>
      </c>
      <c r="D134" s="10" t="s">
        <v>90</v>
      </c>
      <c r="E134" s="10"/>
      <c r="F134" s="10"/>
      <c r="G134" s="10" t="n">
        <v>2</v>
      </c>
      <c r="H134" s="10" t="n">
        <v>3</v>
      </c>
      <c r="I134" s="10" t="n">
        <v>50</v>
      </c>
    </row>
    <row r="135" customFormat="false" ht="15" hidden="false" customHeight="false" outlineLevel="0" collapsed="false">
      <c r="A135" s="6" t="s">
        <v>73</v>
      </c>
      <c r="B135" s="10" t="n">
        <v>7</v>
      </c>
      <c r="C135" s="10" t="s">
        <v>90</v>
      </c>
      <c r="D135" s="10" t="s">
        <v>90</v>
      </c>
      <c r="E135" s="10"/>
      <c r="F135" s="10"/>
      <c r="G135" s="10" t="n">
        <v>2</v>
      </c>
      <c r="H135" s="10" t="n">
        <v>3</v>
      </c>
      <c r="I135" s="10" t="n">
        <v>67</v>
      </c>
    </row>
    <row r="136" customFormat="false" ht="15" hidden="false" customHeight="false" outlineLevel="0" collapsed="false">
      <c r="A136" s="6" t="s">
        <v>74</v>
      </c>
      <c r="B136" s="10" t="n">
        <v>1</v>
      </c>
      <c r="C136" s="10" t="s">
        <v>89</v>
      </c>
      <c r="D136" s="10" t="s">
        <v>90</v>
      </c>
      <c r="E136" s="10" t="n">
        <v>0</v>
      </c>
      <c r="F136" s="10" t="n">
        <v>50</v>
      </c>
      <c r="G136" s="10" t="n">
        <v>1</v>
      </c>
      <c r="H136" s="10" t="n">
        <v>0</v>
      </c>
      <c r="I136" s="10" t="n">
        <v>76</v>
      </c>
    </row>
    <row r="137" customFormat="false" ht="15" hidden="false" customHeight="false" outlineLevel="0" collapsed="false">
      <c r="A137" s="6" t="s">
        <v>74</v>
      </c>
      <c r="B137" s="10" t="n">
        <v>2</v>
      </c>
      <c r="C137" s="10" t="s">
        <v>89</v>
      </c>
      <c r="D137" s="10" t="s">
        <v>90</v>
      </c>
      <c r="E137" s="10"/>
      <c r="F137" s="10"/>
      <c r="G137" s="10" t="n">
        <v>1</v>
      </c>
      <c r="H137" s="10" t="n">
        <v>3</v>
      </c>
      <c r="I137" s="10" t="n">
        <v>82</v>
      </c>
    </row>
    <row r="138" customFormat="false" ht="15" hidden="false" customHeight="false" outlineLevel="0" collapsed="false">
      <c r="A138" s="6" t="s">
        <v>74</v>
      </c>
      <c r="B138" s="10" t="n">
        <v>3</v>
      </c>
      <c r="C138" s="10" t="s">
        <v>89</v>
      </c>
      <c r="D138" s="10" t="s">
        <v>89</v>
      </c>
      <c r="E138" s="10"/>
      <c r="F138" s="10"/>
      <c r="G138" s="10" t="n">
        <v>1</v>
      </c>
      <c r="H138" s="10" t="n">
        <v>3</v>
      </c>
      <c r="I138" s="10" t="n">
        <v>87</v>
      </c>
    </row>
    <row r="139" customFormat="false" ht="15" hidden="false" customHeight="false" outlineLevel="0" collapsed="false">
      <c r="A139" s="6" t="s">
        <v>74</v>
      </c>
      <c r="B139" s="10" t="n">
        <v>4</v>
      </c>
      <c r="C139" s="10" t="s">
        <v>89</v>
      </c>
      <c r="D139" s="10" t="s">
        <v>90</v>
      </c>
      <c r="E139" s="10" t="n">
        <v>1</v>
      </c>
      <c r="F139" s="10" t="n">
        <v>74</v>
      </c>
      <c r="G139" s="10" t="n">
        <v>2</v>
      </c>
      <c r="H139" s="10" t="n">
        <v>0</v>
      </c>
      <c r="I139" s="10" t="n">
        <v>56</v>
      </c>
    </row>
    <row r="140" customFormat="false" ht="15" hidden="false" customHeight="false" outlineLevel="0" collapsed="false">
      <c r="A140" s="6" t="s">
        <v>74</v>
      </c>
      <c r="B140" s="10" t="n">
        <v>5</v>
      </c>
      <c r="C140" s="10" t="s">
        <v>89</v>
      </c>
      <c r="D140" s="10" t="s">
        <v>90</v>
      </c>
      <c r="E140" s="10"/>
      <c r="F140" s="10"/>
      <c r="G140" s="10" t="n">
        <v>1</v>
      </c>
      <c r="H140" s="10" t="n">
        <v>1</v>
      </c>
      <c r="I140" s="10" t="n">
        <v>80</v>
      </c>
    </row>
    <row r="141" customFormat="false" ht="15" hidden="false" customHeight="false" outlineLevel="0" collapsed="false">
      <c r="A141" s="6" t="s">
        <v>74</v>
      </c>
      <c r="B141" s="10" t="n">
        <v>6</v>
      </c>
      <c r="C141" s="10" t="s">
        <v>89</v>
      </c>
      <c r="D141" s="10" t="s">
        <v>90</v>
      </c>
      <c r="E141" s="10" t="n">
        <v>2</v>
      </c>
      <c r="F141" s="10" t="n">
        <v>84</v>
      </c>
      <c r="G141" s="10" t="n">
        <v>1</v>
      </c>
      <c r="H141" s="10" t="n">
        <v>2</v>
      </c>
      <c r="I141" s="10" t="n">
        <v>60</v>
      </c>
    </row>
    <row r="142" customFormat="false" ht="15" hidden="false" customHeight="false" outlineLevel="0" collapsed="false">
      <c r="A142" s="6" t="s">
        <v>74</v>
      </c>
      <c r="B142" s="10" t="n">
        <v>7</v>
      </c>
      <c r="C142" s="10" t="s">
        <v>89</v>
      </c>
      <c r="D142" s="10" t="s">
        <v>90</v>
      </c>
      <c r="E142" s="10" t="n">
        <v>2</v>
      </c>
      <c r="F142" s="10" t="n">
        <v>91</v>
      </c>
      <c r="G142" s="10" t="n">
        <v>2</v>
      </c>
      <c r="H142" s="10" t="n">
        <v>2</v>
      </c>
      <c r="I142" s="10" t="n">
        <v>92</v>
      </c>
    </row>
    <row r="143" customFormat="false" ht="15" hidden="false" customHeight="false" outlineLevel="0" collapsed="false">
      <c r="A143" s="6" t="s">
        <v>75</v>
      </c>
      <c r="B143" s="10" t="n">
        <v>1</v>
      </c>
      <c r="C143" s="10" t="s">
        <v>89</v>
      </c>
      <c r="D143" s="10" t="s">
        <v>90</v>
      </c>
      <c r="E143" s="10" t="n">
        <v>3</v>
      </c>
      <c r="F143" s="10" t="n">
        <v>98</v>
      </c>
      <c r="G143" s="10" t="n">
        <v>1</v>
      </c>
      <c r="H143" s="10" t="n">
        <v>0</v>
      </c>
      <c r="I143" s="10" t="n">
        <v>44</v>
      </c>
    </row>
    <row r="144" customFormat="false" ht="15" hidden="false" customHeight="false" outlineLevel="0" collapsed="false">
      <c r="A144" s="6" t="s">
        <v>75</v>
      </c>
      <c r="B144" s="10" t="n">
        <v>2</v>
      </c>
      <c r="C144" s="10" t="s">
        <v>89</v>
      </c>
      <c r="D144" s="10" t="s">
        <v>90</v>
      </c>
      <c r="E144" s="10" t="n">
        <v>2</v>
      </c>
      <c r="F144" s="10" t="n">
        <v>92</v>
      </c>
      <c r="G144" s="10" t="n">
        <v>2</v>
      </c>
      <c r="H144" s="10" t="n">
        <v>0</v>
      </c>
      <c r="I144" s="10" t="n">
        <v>56</v>
      </c>
    </row>
    <row r="145" customFormat="false" ht="15" hidden="false" customHeight="false" outlineLevel="0" collapsed="false">
      <c r="A145" s="6" t="s">
        <v>75</v>
      </c>
      <c r="B145" s="10" t="n">
        <v>3</v>
      </c>
      <c r="C145" s="10" t="s">
        <v>89</v>
      </c>
      <c r="D145" s="10" t="s">
        <v>90</v>
      </c>
      <c r="E145" s="10" t="n">
        <v>3</v>
      </c>
      <c r="F145" s="10" t="n">
        <v>98</v>
      </c>
      <c r="G145" s="10" t="n">
        <v>2</v>
      </c>
      <c r="H145" s="10" t="n">
        <v>4</v>
      </c>
      <c r="I145" s="10" t="n">
        <v>46</v>
      </c>
    </row>
    <row r="146" customFormat="false" ht="15" hidden="false" customHeight="false" outlineLevel="0" collapsed="false">
      <c r="A146" s="6" t="s">
        <v>75</v>
      </c>
      <c r="B146" s="10" t="n">
        <v>4</v>
      </c>
      <c r="C146" s="10" t="s">
        <v>89</v>
      </c>
      <c r="D146" s="10" t="s">
        <v>90</v>
      </c>
      <c r="E146" s="10" t="n">
        <v>3</v>
      </c>
      <c r="F146" s="10" t="n">
        <v>100</v>
      </c>
      <c r="G146" s="10" t="n">
        <v>2</v>
      </c>
      <c r="H146" s="10" t="n">
        <v>2</v>
      </c>
      <c r="I146" s="10" t="n">
        <v>44</v>
      </c>
    </row>
    <row r="147" customFormat="false" ht="15" hidden="false" customHeight="false" outlineLevel="0" collapsed="false">
      <c r="A147" s="6" t="s">
        <v>75</v>
      </c>
      <c r="B147" s="10" t="n">
        <v>5</v>
      </c>
      <c r="C147" s="10" t="s">
        <v>89</v>
      </c>
      <c r="D147" s="10" t="s">
        <v>90</v>
      </c>
      <c r="E147" s="10" t="n">
        <v>2</v>
      </c>
      <c r="F147" s="10" t="n">
        <v>93</v>
      </c>
      <c r="G147" s="10" t="n">
        <v>1</v>
      </c>
      <c r="H147" s="10" t="n">
        <v>0</v>
      </c>
      <c r="I147" s="10" t="n">
        <v>42</v>
      </c>
    </row>
    <row r="148" customFormat="false" ht="15" hidden="false" customHeight="false" outlineLevel="0" collapsed="false">
      <c r="A148" s="6" t="s">
        <v>75</v>
      </c>
      <c r="B148" s="10" t="n">
        <v>6</v>
      </c>
      <c r="C148" s="10" t="s">
        <v>89</v>
      </c>
      <c r="D148" s="10" t="s">
        <v>90</v>
      </c>
      <c r="E148" s="10" t="n">
        <v>3</v>
      </c>
      <c r="F148" s="10" t="n">
        <v>100</v>
      </c>
      <c r="G148" s="10" t="n">
        <v>1</v>
      </c>
      <c r="H148" s="10" t="n">
        <v>0</v>
      </c>
      <c r="I148" s="10" t="n">
        <v>63</v>
      </c>
    </row>
    <row r="149" customFormat="false" ht="15" hidden="false" customHeight="false" outlineLevel="0" collapsed="false">
      <c r="A149" s="6" t="s">
        <v>75</v>
      </c>
      <c r="B149" s="10" t="n">
        <v>7</v>
      </c>
      <c r="C149" s="10" t="s">
        <v>89</v>
      </c>
      <c r="D149" s="10" t="s">
        <v>90</v>
      </c>
      <c r="E149" s="10" t="n">
        <v>1</v>
      </c>
      <c r="F149" s="10" t="n">
        <v>68</v>
      </c>
      <c r="G149" s="10" t="n">
        <v>1</v>
      </c>
      <c r="H149" s="10" t="n">
        <v>2</v>
      </c>
      <c r="I149" s="10" t="n">
        <v>81</v>
      </c>
    </row>
    <row r="150" customFormat="false" ht="15" hidden="false" customHeight="false" outlineLevel="0" collapsed="false">
      <c r="A150" s="6" t="s">
        <v>76</v>
      </c>
      <c r="B150" s="10" t="n">
        <v>1</v>
      </c>
      <c r="C150" s="10" t="s">
        <v>90</v>
      </c>
      <c r="D150" s="10" t="s">
        <v>90</v>
      </c>
      <c r="E150" s="10"/>
      <c r="F150" s="10"/>
      <c r="G150" s="10" t="n">
        <v>2</v>
      </c>
      <c r="H150" s="10" t="n">
        <v>3</v>
      </c>
      <c r="I150" s="10" t="n">
        <v>57</v>
      </c>
    </row>
    <row r="151" customFormat="false" ht="15" hidden="false" customHeight="false" outlineLevel="0" collapsed="false">
      <c r="A151" s="6" t="s">
        <v>76</v>
      </c>
      <c r="B151" s="10" t="n">
        <v>2</v>
      </c>
      <c r="C151" s="10" t="s">
        <v>90</v>
      </c>
      <c r="D151" s="10" t="s">
        <v>90</v>
      </c>
      <c r="E151" s="10"/>
      <c r="F151" s="10"/>
      <c r="G151" s="10" t="n">
        <v>2</v>
      </c>
      <c r="H151" s="10" t="n">
        <v>1</v>
      </c>
      <c r="I151" s="10" t="n">
        <v>55</v>
      </c>
    </row>
    <row r="152" customFormat="false" ht="15" hidden="false" customHeight="false" outlineLevel="0" collapsed="false">
      <c r="A152" s="6" t="s">
        <v>76</v>
      </c>
      <c r="B152" s="10" t="n">
        <v>3</v>
      </c>
      <c r="C152" s="10" t="s">
        <v>89</v>
      </c>
      <c r="D152" s="10" t="s">
        <v>89</v>
      </c>
      <c r="E152" s="10"/>
      <c r="F152" s="10"/>
      <c r="G152" s="10" t="n">
        <v>2</v>
      </c>
      <c r="H152" s="10" t="n">
        <v>3</v>
      </c>
      <c r="I152" s="10" t="n">
        <v>62</v>
      </c>
    </row>
    <row r="153" customFormat="false" ht="15" hidden="false" customHeight="false" outlineLevel="0" collapsed="false">
      <c r="A153" s="6" t="s">
        <v>76</v>
      </c>
      <c r="B153" s="10" t="n">
        <v>4</v>
      </c>
      <c r="C153" s="10" t="s">
        <v>90</v>
      </c>
      <c r="D153" s="10" t="s">
        <v>90</v>
      </c>
      <c r="E153" s="10"/>
      <c r="F153" s="10"/>
      <c r="G153" s="10" t="n">
        <v>2</v>
      </c>
      <c r="H153" s="10" t="n">
        <v>0</v>
      </c>
      <c r="I153" s="10" t="n">
        <v>94</v>
      </c>
    </row>
    <row r="154" customFormat="false" ht="15" hidden="false" customHeight="false" outlineLevel="0" collapsed="false">
      <c r="A154" s="6" t="s">
        <v>76</v>
      </c>
      <c r="B154" s="10" t="n">
        <v>5</v>
      </c>
      <c r="C154" s="10" t="s">
        <v>89</v>
      </c>
      <c r="D154" s="10" t="s">
        <v>89</v>
      </c>
      <c r="E154" s="10"/>
      <c r="F154" s="10"/>
      <c r="G154" s="10" t="n">
        <v>1</v>
      </c>
      <c r="H154" s="10" t="n">
        <v>1</v>
      </c>
      <c r="I154" s="10" t="n">
        <v>78</v>
      </c>
    </row>
    <row r="155" customFormat="false" ht="15" hidden="false" customHeight="false" outlineLevel="0" collapsed="false">
      <c r="A155" s="6" t="s">
        <v>76</v>
      </c>
      <c r="B155" s="10" t="n">
        <v>6</v>
      </c>
      <c r="C155" s="10" t="s">
        <v>89</v>
      </c>
      <c r="D155" s="10" t="s">
        <v>89</v>
      </c>
      <c r="E155" s="10"/>
      <c r="F155" s="10"/>
      <c r="G155" s="10" t="n">
        <v>2</v>
      </c>
      <c r="H155" s="10" t="n">
        <v>0</v>
      </c>
      <c r="I155" s="10" t="n">
        <v>76</v>
      </c>
    </row>
    <row r="156" customFormat="false" ht="15" hidden="false" customHeight="false" outlineLevel="0" collapsed="false">
      <c r="A156" s="6" t="s">
        <v>76</v>
      </c>
      <c r="B156" s="10" t="n">
        <v>7</v>
      </c>
      <c r="C156" s="10" t="s">
        <v>89</v>
      </c>
      <c r="D156" s="10" t="s">
        <v>90</v>
      </c>
      <c r="E156" s="10" t="n">
        <v>3</v>
      </c>
      <c r="F156" s="10" t="n">
        <v>97</v>
      </c>
      <c r="G156" s="10" t="n">
        <v>2</v>
      </c>
      <c r="H156" s="10" t="n">
        <v>4</v>
      </c>
      <c r="I156" s="10" t="n">
        <v>78</v>
      </c>
    </row>
    <row r="157" customFormat="false" ht="15" hidden="false" customHeight="false" outlineLevel="0" collapsed="false">
      <c r="A157" s="6" t="s">
        <v>77</v>
      </c>
      <c r="B157" s="10" t="n">
        <v>1</v>
      </c>
      <c r="C157" s="10" t="s">
        <v>90</v>
      </c>
      <c r="D157" s="10" t="s">
        <v>90</v>
      </c>
      <c r="E157" s="10"/>
      <c r="F157" s="10"/>
      <c r="G157" s="10" t="n">
        <v>1</v>
      </c>
      <c r="H157" s="10" t="n">
        <v>3</v>
      </c>
      <c r="I157" s="10" t="n">
        <v>74</v>
      </c>
    </row>
    <row r="158" customFormat="false" ht="15" hidden="false" customHeight="false" outlineLevel="0" collapsed="false">
      <c r="A158" s="6" t="s">
        <v>77</v>
      </c>
      <c r="B158" s="10" t="n">
        <v>2</v>
      </c>
      <c r="C158" s="10" t="s">
        <v>89</v>
      </c>
      <c r="D158" s="10" t="s">
        <v>90</v>
      </c>
      <c r="E158" s="10" t="n">
        <v>3</v>
      </c>
      <c r="F158" s="10" t="n">
        <v>96</v>
      </c>
      <c r="G158" s="10" t="n">
        <v>2</v>
      </c>
      <c r="H158" s="10" t="n">
        <v>2</v>
      </c>
      <c r="I158" s="10" t="n">
        <v>60</v>
      </c>
    </row>
    <row r="159" customFormat="false" ht="15" hidden="false" customHeight="false" outlineLevel="0" collapsed="false">
      <c r="A159" s="6" t="s">
        <v>77</v>
      </c>
      <c r="B159" s="10" t="n">
        <v>3</v>
      </c>
      <c r="C159" s="10" t="s">
        <v>90</v>
      </c>
      <c r="D159" s="10" t="s">
        <v>90</v>
      </c>
      <c r="E159" s="10"/>
      <c r="F159" s="10"/>
      <c r="G159" s="10" t="n">
        <v>2</v>
      </c>
      <c r="H159" s="10" t="n">
        <v>2</v>
      </c>
      <c r="I159" s="10" t="n">
        <v>73</v>
      </c>
    </row>
    <row r="160" customFormat="false" ht="15" hidden="false" customHeight="false" outlineLevel="0" collapsed="false">
      <c r="A160" s="6" t="s">
        <v>77</v>
      </c>
      <c r="B160" s="10" t="n">
        <v>4</v>
      </c>
      <c r="C160" s="10" t="s">
        <v>90</v>
      </c>
      <c r="D160" s="10" t="s">
        <v>90</v>
      </c>
      <c r="E160" s="10"/>
      <c r="F160" s="10"/>
      <c r="G160" s="10" t="n">
        <v>1</v>
      </c>
      <c r="H160" s="10" t="n">
        <v>1</v>
      </c>
      <c r="I160" s="10" t="n">
        <v>89</v>
      </c>
    </row>
    <row r="161" customFormat="false" ht="15" hidden="false" customHeight="false" outlineLevel="0" collapsed="false">
      <c r="A161" s="6" t="s">
        <v>77</v>
      </c>
      <c r="B161" s="10" t="n">
        <v>5</v>
      </c>
      <c r="C161" s="10" t="s">
        <v>89</v>
      </c>
      <c r="D161" s="10" t="s">
        <v>90</v>
      </c>
      <c r="E161" s="10" t="n">
        <v>3</v>
      </c>
      <c r="F161" s="10" t="n">
        <v>100</v>
      </c>
      <c r="G161" s="10" t="n">
        <v>1</v>
      </c>
      <c r="H161" s="10" t="n">
        <v>2</v>
      </c>
      <c r="I161" s="10" t="n">
        <v>95</v>
      </c>
    </row>
    <row r="162" customFormat="false" ht="15" hidden="false" customHeight="false" outlineLevel="0" collapsed="false">
      <c r="A162" s="6" t="s">
        <v>77</v>
      </c>
      <c r="B162" s="10" t="n">
        <v>6</v>
      </c>
      <c r="C162" s="10" t="s">
        <v>89</v>
      </c>
      <c r="D162" s="10" t="s">
        <v>90</v>
      </c>
      <c r="E162" s="10" t="n">
        <v>3</v>
      </c>
      <c r="F162" s="10" t="n">
        <v>99</v>
      </c>
      <c r="G162" s="10" t="n">
        <v>2</v>
      </c>
      <c r="H162" s="10" t="n">
        <v>1</v>
      </c>
      <c r="I162" s="10" t="n">
        <v>85</v>
      </c>
    </row>
    <row r="163" customFormat="false" ht="15" hidden="false" customHeight="false" outlineLevel="0" collapsed="false">
      <c r="A163" s="6" t="s">
        <v>77</v>
      </c>
      <c r="B163" s="10" t="n">
        <v>7</v>
      </c>
      <c r="C163" s="10" t="s">
        <v>89</v>
      </c>
      <c r="D163" s="10" t="s">
        <v>89</v>
      </c>
      <c r="E163" s="10"/>
      <c r="F163" s="10"/>
      <c r="G163" s="10" t="n">
        <v>1</v>
      </c>
      <c r="H163" s="10" t="n">
        <v>0</v>
      </c>
      <c r="I163" s="10" t="n">
        <v>49</v>
      </c>
    </row>
    <row r="164" customFormat="false" ht="15" hidden="false" customHeight="false" outlineLevel="0" collapsed="false">
      <c r="A164" s="6" t="s">
        <v>78</v>
      </c>
      <c r="B164" s="10" t="n">
        <v>1</v>
      </c>
      <c r="C164" s="10" t="s">
        <v>90</v>
      </c>
      <c r="D164" s="10" t="s">
        <v>90</v>
      </c>
      <c r="E164" s="10"/>
      <c r="F164" s="10"/>
      <c r="G164" s="10" t="n">
        <v>2</v>
      </c>
      <c r="H164" s="10" t="n">
        <v>2</v>
      </c>
      <c r="I164" s="10" t="n">
        <v>85</v>
      </c>
    </row>
    <row r="165" customFormat="false" ht="15" hidden="false" customHeight="false" outlineLevel="0" collapsed="false">
      <c r="A165" s="6" t="s">
        <v>78</v>
      </c>
      <c r="B165" s="10" t="n">
        <v>2</v>
      </c>
      <c r="C165" s="10" t="s">
        <v>89</v>
      </c>
      <c r="D165" s="10" t="s">
        <v>90</v>
      </c>
      <c r="E165" s="10" t="n">
        <v>3</v>
      </c>
      <c r="F165" s="10" t="n">
        <v>100</v>
      </c>
      <c r="G165" s="10" t="n">
        <v>2</v>
      </c>
      <c r="H165" s="10" t="n">
        <v>2</v>
      </c>
      <c r="I165" s="10" t="n">
        <v>94</v>
      </c>
    </row>
    <row r="166" customFormat="false" ht="15" hidden="false" customHeight="false" outlineLevel="0" collapsed="false">
      <c r="A166" s="6" t="s">
        <v>78</v>
      </c>
      <c r="B166" s="10" t="n">
        <v>3</v>
      </c>
      <c r="C166" s="10" t="s">
        <v>89</v>
      </c>
      <c r="D166" s="10" t="s">
        <v>90</v>
      </c>
      <c r="E166" s="10" t="n">
        <v>1</v>
      </c>
      <c r="F166" s="10" t="n">
        <v>68</v>
      </c>
      <c r="G166" s="10" t="n">
        <v>2</v>
      </c>
      <c r="H166" s="10" t="n">
        <v>3</v>
      </c>
      <c r="I166" s="10" t="n">
        <v>92</v>
      </c>
    </row>
    <row r="167" customFormat="false" ht="15" hidden="false" customHeight="false" outlineLevel="0" collapsed="false">
      <c r="A167" s="6" t="s">
        <v>78</v>
      </c>
      <c r="B167" s="10" t="n">
        <v>4</v>
      </c>
      <c r="C167" s="10" t="s">
        <v>89</v>
      </c>
      <c r="D167" s="10" t="s">
        <v>90</v>
      </c>
      <c r="E167" s="10" t="n">
        <v>3</v>
      </c>
      <c r="F167" s="10" t="n">
        <v>98</v>
      </c>
      <c r="G167" s="10" t="n">
        <v>2</v>
      </c>
      <c r="H167" s="10" t="n">
        <v>5</v>
      </c>
      <c r="I167" s="10" t="n">
        <v>70</v>
      </c>
    </row>
    <row r="168" customFormat="false" ht="15" hidden="false" customHeight="false" outlineLevel="0" collapsed="false">
      <c r="A168" s="6" t="s">
        <v>78</v>
      </c>
      <c r="B168" s="10" t="n">
        <v>5</v>
      </c>
      <c r="C168" s="10" t="s">
        <v>90</v>
      </c>
      <c r="D168" s="10" t="s">
        <v>90</v>
      </c>
      <c r="E168" s="10"/>
      <c r="F168" s="10"/>
      <c r="G168" s="10" t="n">
        <v>1</v>
      </c>
      <c r="H168" s="10" t="n">
        <v>0</v>
      </c>
      <c r="I168" s="10" t="n">
        <v>46</v>
      </c>
    </row>
    <row r="169" customFormat="false" ht="15" hidden="false" customHeight="false" outlineLevel="0" collapsed="false">
      <c r="A169" s="6" t="s">
        <v>78</v>
      </c>
      <c r="B169" s="10" t="n">
        <v>6</v>
      </c>
      <c r="C169" s="10" t="s">
        <v>89</v>
      </c>
      <c r="D169" s="10" t="s">
        <v>90</v>
      </c>
      <c r="E169" s="10" t="n">
        <v>3</v>
      </c>
      <c r="F169" s="10" t="n">
        <v>100</v>
      </c>
      <c r="G169" s="10" t="n">
        <v>2</v>
      </c>
      <c r="H169" s="10" t="n">
        <v>2</v>
      </c>
      <c r="I169" s="10" t="n">
        <v>95</v>
      </c>
    </row>
    <row r="170" customFormat="false" ht="15" hidden="false" customHeight="false" outlineLevel="0" collapsed="false">
      <c r="A170" s="6" t="s">
        <v>78</v>
      </c>
      <c r="B170" s="10" t="n">
        <v>7</v>
      </c>
      <c r="C170" s="10" t="s">
        <v>89</v>
      </c>
      <c r="D170" s="10" t="s">
        <v>90</v>
      </c>
      <c r="E170" s="10"/>
      <c r="F170" s="10"/>
      <c r="G170" s="10" t="n">
        <v>1</v>
      </c>
      <c r="H170" s="10" t="n">
        <v>3</v>
      </c>
      <c r="I170" s="10" t="n">
        <v>78</v>
      </c>
    </row>
    <row r="171" customFormat="false" ht="15" hidden="false" customHeight="false" outlineLevel="0" collapsed="false">
      <c r="A171" s="6" t="s">
        <v>79</v>
      </c>
      <c r="B171" s="10" t="n">
        <v>1</v>
      </c>
      <c r="C171" s="10" t="s">
        <v>89</v>
      </c>
      <c r="D171" s="10" t="s">
        <v>89</v>
      </c>
      <c r="E171" s="10"/>
      <c r="F171" s="10"/>
      <c r="G171" s="10" t="n">
        <v>1</v>
      </c>
      <c r="H171" s="10" t="n">
        <v>0</v>
      </c>
      <c r="I171" s="10" t="n">
        <v>70</v>
      </c>
    </row>
    <row r="172" customFormat="false" ht="15" hidden="false" customHeight="false" outlineLevel="0" collapsed="false">
      <c r="A172" s="6" t="s">
        <v>79</v>
      </c>
      <c r="B172" s="10" t="n">
        <v>2</v>
      </c>
      <c r="C172" s="10" t="s">
        <v>89</v>
      </c>
      <c r="D172" s="10" t="s">
        <v>89</v>
      </c>
      <c r="E172" s="10"/>
      <c r="F172" s="10"/>
      <c r="G172" s="10" t="n">
        <v>2</v>
      </c>
      <c r="H172" s="10" t="n">
        <v>0</v>
      </c>
      <c r="I172" s="10" t="n">
        <v>54</v>
      </c>
    </row>
    <row r="173" customFormat="false" ht="15" hidden="false" customHeight="false" outlineLevel="0" collapsed="false">
      <c r="A173" s="6" t="s">
        <v>79</v>
      </c>
      <c r="B173" s="10" t="n">
        <v>3</v>
      </c>
      <c r="C173" s="10" t="s">
        <v>89</v>
      </c>
      <c r="D173" s="10" t="s">
        <v>90</v>
      </c>
      <c r="E173" s="10"/>
      <c r="F173" s="10"/>
      <c r="G173" s="10" t="n">
        <v>1</v>
      </c>
      <c r="H173" s="10" t="n">
        <v>1</v>
      </c>
      <c r="I173" s="10" t="n">
        <v>82</v>
      </c>
    </row>
    <row r="174" customFormat="false" ht="15" hidden="false" customHeight="false" outlineLevel="0" collapsed="false">
      <c r="A174" s="6" t="s">
        <v>79</v>
      </c>
      <c r="B174" s="10" t="n">
        <v>4</v>
      </c>
      <c r="C174" s="10" t="s">
        <v>89</v>
      </c>
      <c r="D174" s="10" t="s">
        <v>90</v>
      </c>
      <c r="E174" s="10" t="n">
        <v>1</v>
      </c>
      <c r="F174" s="10" t="n">
        <v>64</v>
      </c>
      <c r="G174" s="10" t="n">
        <v>2</v>
      </c>
      <c r="H174" s="10" t="n">
        <v>1</v>
      </c>
      <c r="I174" s="10" t="n">
        <v>49</v>
      </c>
    </row>
    <row r="175" customFormat="false" ht="15" hidden="false" customHeight="false" outlineLevel="0" collapsed="false">
      <c r="A175" s="6" t="s">
        <v>79</v>
      </c>
      <c r="B175" s="10" t="n">
        <v>5</v>
      </c>
      <c r="C175" s="10" t="s">
        <v>89</v>
      </c>
      <c r="D175" s="10" t="s">
        <v>90</v>
      </c>
      <c r="E175" s="10" t="n">
        <v>2</v>
      </c>
      <c r="F175" s="10" t="n">
        <v>80</v>
      </c>
      <c r="G175" s="10" t="n">
        <v>1</v>
      </c>
      <c r="H175" s="10" t="n">
        <v>2</v>
      </c>
      <c r="I175" s="10" t="n">
        <v>53</v>
      </c>
    </row>
    <row r="176" customFormat="false" ht="15" hidden="false" customHeight="false" outlineLevel="0" collapsed="false">
      <c r="A176" s="6" t="s">
        <v>79</v>
      </c>
      <c r="B176" s="10" t="n">
        <v>6</v>
      </c>
      <c r="C176" s="10" t="s">
        <v>89</v>
      </c>
      <c r="D176" s="10" t="s">
        <v>90</v>
      </c>
      <c r="E176" s="10" t="n">
        <v>3</v>
      </c>
      <c r="F176" s="10" t="n">
        <v>98</v>
      </c>
      <c r="G176" s="10" t="n">
        <v>1</v>
      </c>
      <c r="H176" s="10" t="n">
        <v>2</v>
      </c>
      <c r="I176" s="10" t="n">
        <v>49</v>
      </c>
    </row>
    <row r="177" customFormat="false" ht="15" hidden="false" customHeight="false" outlineLevel="0" collapsed="false">
      <c r="A177" s="6" t="s">
        <v>79</v>
      </c>
      <c r="B177" s="10" t="n">
        <v>7</v>
      </c>
      <c r="C177" s="10" t="s">
        <v>89</v>
      </c>
      <c r="D177" s="10" t="s">
        <v>90</v>
      </c>
      <c r="E177" s="10"/>
      <c r="F177" s="10"/>
      <c r="G177" s="10" t="n">
        <v>2</v>
      </c>
      <c r="H177" s="10" t="n">
        <v>2</v>
      </c>
      <c r="I177" s="10" t="n">
        <v>78</v>
      </c>
    </row>
  </sheetData>
  <mergeCells count="1">
    <mergeCell ref="A1:I1"/>
  </mergeCells>
  <dataValidations count="3">
    <dataValidation allowBlank="false" errorStyle="stop" operator="between" showDropDown="false" showErrorMessage="false" showInputMessage="false" sqref="C3:D500" type="list">
      <formula1>"S,N"</formula1>
      <formula2>0</formula2>
    </dataValidation>
    <dataValidation allowBlank="true" errorStyle="stop" operator="between" showDropDown="false" showErrorMessage="false" showInputMessage="false" sqref="E3:E500" type="list">
      <formula1>"0,1,2,3"</formula1>
      <formula2>0</formula2>
    </dataValidation>
    <dataValidation allowBlank="false" errorStyle="stop" operator="between" showDropDown="false" showErrorMessage="false" showInputMessage="false" sqref="B3:B500" type="whole">
      <formula1>1</formula1>
      <formula2>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8" min="14" style="0" width="11"/>
    <col collapsed="false" customWidth="true" hidden="false" outlineLevel="0" max="19" min="19" style="0" width="8"/>
    <col collapsed="false" customWidth="true" hidden="false" outlineLevel="0" max="20" min="20" style="0" width="13"/>
    <col collapsed="false" customWidth="true" hidden="false" outlineLevel="0" max="21" min="21" style="0" width="10"/>
    <col collapsed="false" customWidth="true" hidden="false" outlineLevel="0" max="22" min="22" style="0" width="8"/>
    <col collapsed="false" customWidth="true" hidden="false" outlineLevel="0" max="23" min="23" style="0" width="15"/>
  </cols>
  <sheetData>
    <row r="1" customFormat="false" ht="16.15" hidden="false" customHeight="true" outlineLevel="0" collapsed="false">
      <c r="A1" s="12" t="s">
        <v>91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customFormat="false" ht="23.85" hidden="false" customHeight="false" outlineLevel="0" collapsed="false">
      <c r="A2" s="8" t="s">
        <v>52</v>
      </c>
      <c r="B2" s="8" t="s">
        <v>43</v>
      </c>
      <c r="C2" s="8" t="s">
        <v>92</v>
      </c>
      <c r="D2" s="8" t="s">
        <v>27</v>
      </c>
      <c r="E2" s="8" t="s">
        <v>54</v>
      </c>
      <c r="F2" s="8" t="s">
        <v>93</v>
      </c>
      <c r="G2" s="8" t="s">
        <v>94</v>
      </c>
      <c r="H2" s="8" t="s">
        <v>95</v>
      </c>
      <c r="I2" s="8" t="s">
        <v>96</v>
      </c>
      <c r="J2" s="8" t="s">
        <v>97</v>
      </c>
      <c r="K2" s="8" t="s">
        <v>98</v>
      </c>
      <c r="L2" s="8" t="s">
        <v>99</v>
      </c>
      <c r="M2" s="8" t="s">
        <v>100</v>
      </c>
      <c r="N2" s="8" t="s">
        <v>101</v>
      </c>
      <c r="O2" s="8" t="s">
        <v>102</v>
      </c>
      <c r="P2" s="8" t="s">
        <v>103</v>
      </c>
      <c r="Q2" s="8" t="s">
        <v>104</v>
      </c>
      <c r="R2" s="8" t="s">
        <v>105</v>
      </c>
      <c r="S2" s="8" t="s">
        <v>106</v>
      </c>
      <c r="T2" s="8" t="s">
        <v>107</v>
      </c>
      <c r="U2" s="8" t="s">
        <v>108</v>
      </c>
      <c r="V2" s="8" t="s">
        <v>109</v>
      </c>
      <c r="W2" s="8" t="s">
        <v>110</v>
      </c>
    </row>
    <row r="3" customFormat="false" ht="15" hidden="false" customHeight="false" outlineLevel="0" collapsed="false">
      <c r="A3" s="14" t="str">
        <f aca="false">Jogadores!A3</f>
        <v>Lippe</v>
      </c>
      <c r="B3" s="15" t="n">
        <f aca="false">IFERROR(VLOOKUP($A3,Jogadores!$A$3:$C$120,2,FALSE()),"")</f>
        <v>1</v>
      </c>
      <c r="C3" s="14" t="str">
        <f aca="false">IFERROR(VLOOKUP($B3,Config!$A$29:$C$33,2,FALSE()),"")</f>
        <v>SpamiReza</v>
      </c>
      <c r="D3" s="15" t="str">
        <f aca="false">IFERROR(VLOOKUP($B3,Config!$A$29:$C$33,3,FALSE()),"")</f>
        <v>Champion I</v>
      </c>
      <c r="E3" s="15" t="n">
        <f aca="false">IFERROR(VLOOKUP($A3,Jogadores!$A$3:$C$120,3,FALSE()),"")</f>
        <v>16</v>
      </c>
      <c r="F3" s="15" t="n">
        <f aca="false">COUNTIFS(Dados!$A$3:$A$177,$A3,Dados!$E$3:$E$177,"&gt;=0")</f>
        <v>7</v>
      </c>
      <c r="G3" s="15" t="n">
        <f aca="false">SUMIFS(Dados!$E$3:$E$177,Dados!$A$3:$A$177,$A3)</f>
        <v>20</v>
      </c>
      <c r="H3" s="16" t="n">
        <f aca="false">IFERROR(G3/F3,0)</f>
        <v>2.85714285714286</v>
      </c>
      <c r="I3" s="16" t="n">
        <f aca="false">IFERROR(AVERAGEIFS(Dados!$F$3:$F$177,Dados!$A$3:$A$177,$A3,Dados!$E$3:$E$177,"&gt;=0"),0)</f>
        <v>96.4285714285714</v>
      </c>
      <c r="J3" s="15" t="n">
        <f aca="false">COUNTIFS(Dados!$A$3:$A$177,$A3,Dados!$C$3:$C$177,"S",Dados!$D$3:$D$177,"N")</f>
        <v>7</v>
      </c>
      <c r="K3" s="16" t="n">
        <f aca="false">IFERROR(MIN(1,F3/J3),0)</f>
        <v>1</v>
      </c>
      <c r="L3" s="15" t="n">
        <f aca="false">SUMIFS(Dados!$G$3:$G$177,Dados!$A$3:$A$177,$A3)</f>
        <v>11</v>
      </c>
      <c r="M3" s="15" t="n">
        <f aca="false">SUMIFS(Dados!$H$3:$H$177,Dados!$A$3:$A$177,$A3)</f>
        <v>4</v>
      </c>
      <c r="N3" s="17" t="n">
        <f aca="false">IFERROR(M3/L3,0)</f>
        <v>0.363636363636364</v>
      </c>
      <c r="O3" s="16" t="n">
        <f aca="false">H3/3*100</f>
        <v>95.2380952380952</v>
      </c>
      <c r="P3" s="16" t="n">
        <f aca="false">IF(L3=0,100,(1-M3/(3*L3))*100)</f>
        <v>87.8787878787879</v>
      </c>
      <c r="Q3" s="16" t="n">
        <f aca="false">K3*100</f>
        <v>100</v>
      </c>
      <c r="R3" s="16" t="n">
        <f aca="false">Config!$B$4*O3+Config!$B$5*P3+Config!$B$6*Q3</f>
        <v>94.95670995671</v>
      </c>
      <c r="S3" s="17" t="n">
        <f aca="false">IFERROR(VLOOKUP($D3,Config!$A$12:$B$24,2,FALSE()),1)</f>
        <v>1</v>
      </c>
      <c r="T3" s="18" t="n">
        <f aca="false">R3*S3</f>
        <v>94.95670995671</v>
      </c>
      <c r="U3" s="19" t="n">
        <f aca="false">G3+(3*L3-M3)</f>
        <v>49</v>
      </c>
      <c r="V3" s="15" t="n">
        <f aca="false">IF($A3="","",SUMPRODUCT(($B$3:$B$27=$B3)*($T$3:$T$27&gt;$T3))+1)</f>
        <v>1</v>
      </c>
      <c r="W3" s="15" t="str">
        <f aca="false">IF($A3="","",IF($F3&lt;Config!$B$7,"Sem amostra",IF(AND($B3&gt;1,$V3&lt;=Config!$B$8),"⬆ Promoção",IF(AND($B3&lt;5,$V3&gt;COUNTIF($B$3:$B$27,$B3)-Config!$B$8),"⬇ Rebaixamento","—"))))</f>
        <v>—</v>
      </c>
    </row>
    <row r="4" customFormat="false" ht="15" hidden="false" customHeight="false" outlineLevel="0" collapsed="false">
      <c r="A4" s="20" t="str">
        <f aca="false">Jogadores!A4</f>
        <v>Bruno</v>
      </c>
      <c r="B4" s="21" t="n">
        <f aca="false">IFERROR(VLOOKUP($A4,Jogadores!$A$3:$C$120,2,FALSE()),"")</f>
        <v>1</v>
      </c>
      <c r="C4" s="20" t="str">
        <f aca="false">IFERROR(VLOOKUP($B4,Config!$A$29:$C$33,2,FALSE()),"")</f>
        <v>SpamiReza</v>
      </c>
      <c r="D4" s="21" t="str">
        <f aca="false">IFERROR(VLOOKUP($B4,Config!$A$29:$C$33,3,FALSE()),"")</f>
        <v>Champion I</v>
      </c>
      <c r="E4" s="21" t="n">
        <f aca="false">IFERROR(VLOOKUP($A4,Jogadores!$A$3:$C$120,3,FALSE()),"")</f>
        <v>16</v>
      </c>
      <c r="F4" s="21" t="n">
        <f aca="false">COUNTIFS(Dados!$A$3:$A$177,$A4,Dados!$E$3:$E$177,"&gt;=0")</f>
        <v>7</v>
      </c>
      <c r="G4" s="21" t="n">
        <f aca="false">SUMIFS(Dados!$E$3:$E$177,Dados!$A$3:$A$177,$A4)</f>
        <v>20</v>
      </c>
      <c r="H4" s="22" t="n">
        <f aca="false">IFERROR(G4/F4,0)</f>
        <v>2.85714285714286</v>
      </c>
      <c r="I4" s="22" t="n">
        <f aca="false">IFERROR(AVERAGEIFS(Dados!$F$3:$F$177,Dados!$A$3:$A$177,$A4,Dados!$E$3:$E$177,"&gt;=0"),0)</f>
        <v>98</v>
      </c>
      <c r="J4" s="21" t="n">
        <f aca="false">COUNTIFS(Dados!$A$3:$A$177,$A4,Dados!$C$3:$C$177,"S",Dados!$D$3:$D$177,"N")</f>
        <v>7</v>
      </c>
      <c r="K4" s="22" t="n">
        <f aca="false">IFERROR(MIN(1,F4/J4),0)</f>
        <v>1</v>
      </c>
      <c r="L4" s="21" t="n">
        <f aca="false">SUMIFS(Dados!$G$3:$G$177,Dados!$A$3:$A$177,$A4)</f>
        <v>12</v>
      </c>
      <c r="M4" s="21" t="n">
        <f aca="false">SUMIFS(Dados!$H$3:$H$177,Dados!$A$3:$A$177,$A4)</f>
        <v>6</v>
      </c>
      <c r="N4" s="23" t="n">
        <f aca="false">IFERROR(M4/L4,0)</f>
        <v>0.5</v>
      </c>
      <c r="O4" s="22" t="n">
        <f aca="false">H4/3*100</f>
        <v>95.2380952380952</v>
      </c>
      <c r="P4" s="22" t="n">
        <f aca="false">IF(L4=0,100,(1-M4/(3*L4))*100)</f>
        <v>83.3333333333333</v>
      </c>
      <c r="Q4" s="22" t="n">
        <f aca="false">K4*100</f>
        <v>100</v>
      </c>
      <c r="R4" s="22" t="n">
        <f aca="false">Config!$B$4*O4+Config!$B$5*P4+Config!$B$6*Q4</f>
        <v>94.0476190476191</v>
      </c>
      <c r="S4" s="23" t="n">
        <f aca="false">IFERROR(VLOOKUP($D4,Config!$A$12:$B$24,2,FALSE()),1)</f>
        <v>1</v>
      </c>
      <c r="T4" s="24" t="n">
        <f aca="false">R4*S4</f>
        <v>94.0476190476191</v>
      </c>
      <c r="U4" s="25" t="n">
        <f aca="false">G4+(3*L4-M4)</f>
        <v>50</v>
      </c>
      <c r="V4" s="21" t="n">
        <f aca="false">IF($A4="","",SUMPRODUCT(($B$3:$B$27=$B4)*($T$3:$T$27&gt;$T4))+1)</f>
        <v>2</v>
      </c>
      <c r="W4" s="21" t="str">
        <f aca="false">IF($A4="","",IF($F4&lt;Config!$B$7,"Sem amostra",IF(AND($B4&gt;1,$V4&lt;=Config!$B$8),"⬆ Promoção",IF(AND($B4&lt;5,$V4&gt;COUNTIF($B$3:$B$27,$B4)-Config!$B$8),"⬇ Rebaixamento","—"))))</f>
        <v>—</v>
      </c>
    </row>
    <row r="5" customFormat="false" ht="15" hidden="false" customHeight="false" outlineLevel="0" collapsed="false">
      <c r="A5" s="14" t="str">
        <f aca="false">Jogadores!A5</f>
        <v>Kaio</v>
      </c>
      <c r="B5" s="15" t="n">
        <f aca="false">IFERROR(VLOOKUP($A5,Jogadores!$A$3:$C$120,2,FALSE()),"")</f>
        <v>1</v>
      </c>
      <c r="C5" s="14" t="str">
        <f aca="false">IFERROR(VLOOKUP($B5,Config!$A$29:$C$33,2,FALSE()),"")</f>
        <v>SpamiReza</v>
      </c>
      <c r="D5" s="15" t="str">
        <f aca="false">IFERROR(VLOOKUP($B5,Config!$A$29:$C$33,3,FALSE()),"")</f>
        <v>Champion I</v>
      </c>
      <c r="E5" s="15" t="n">
        <f aca="false">IFERROR(VLOOKUP($A5,Jogadores!$A$3:$C$120,3,FALSE()),"")</f>
        <v>15</v>
      </c>
      <c r="F5" s="15" t="n">
        <f aca="false">COUNTIFS(Dados!$A$3:$A$177,$A5,Dados!$E$3:$E$177,"&gt;=0")</f>
        <v>6</v>
      </c>
      <c r="G5" s="15" t="n">
        <f aca="false">SUMIFS(Dados!$E$3:$E$177,Dados!$A$3:$A$177,$A5)</f>
        <v>17</v>
      </c>
      <c r="H5" s="16" t="n">
        <f aca="false">IFERROR(G5/F5,0)</f>
        <v>2.83333333333333</v>
      </c>
      <c r="I5" s="16" t="n">
        <f aca="false">IFERROR(AVERAGEIFS(Dados!$F$3:$F$177,Dados!$A$3:$A$177,$A5,Dados!$E$3:$E$177,"&gt;=0"),0)</f>
        <v>94.8333333333333</v>
      </c>
      <c r="J5" s="15" t="n">
        <f aca="false">COUNTIFS(Dados!$A$3:$A$177,$A5,Dados!$C$3:$C$177,"S",Dados!$D$3:$D$177,"N")</f>
        <v>7</v>
      </c>
      <c r="K5" s="16" t="n">
        <f aca="false">IFERROR(MIN(1,F5/J5),0)</f>
        <v>0.857142857142857</v>
      </c>
      <c r="L5" s="15" t="n">
        <f aca="false">SUMIFS(Dados!$G$3:$G$177,Dados!$A$3:$A$177,$A5)</f>
        <v>9</v>
      </c>
      <c r="M5" s="15" t="n">
        <f aca="false">SUMIFS(Dados!$H$3:$H$177,Dados!$A$3:$A$177,$A5)</f>
        <v>3</v>
      </c>
      <c r="N5" s="17" t="n">
        <f aca="false">IFERROR(M5/L5,0)</f>
        <v>0.333333333333333</v>
      </c>
      <c r="O5" s="16" t="n">
        <f aca="false">H5/3*100</f>
        <v>94.4444444444445</v>
      </c>
      <c r="P5" s="16" t="n">
        <f aca="false">IF(L5=0,100,(1-M5/(3*L5))*100)</f>
        <v>88.8888888888889</v>
      </c>
      <c r="Q5" s="16" t="n">
        <f aca="false">K5*100</f>
        <v>85.7142857142857</v>
      </c>
      <c r="R5" s="16" t="n">
        <f aca="false">Config!$B$4*O5+Config!$B$5*P5+Config!$B$6*Q5</f>
        <v>91.1507936507937</v>
      </c>
      <c r="S5" s="17" t="n">
        <f aca="false">IFERROR(VLOOKUP($D5,Config!$A$12:$B$24,2,FALSE()),1)</f>
        <v>1</v>
      </c>
      <c r="T5" s="18" t="n">
        <f aca="false">R5*S5</f>
        <v>91.1507936507937</v>
      </c>
      <c r="U5" s="19" t="n">
        <f aca="false">G5+(3*L5-M5)</f>
        <v>41</v>
      </c>
      <c r="V5" s="15" t="n">
        <f aca="false">IF($A5="","",SUMPRODUCT(($B$3:$B$27=$B5)*($T$3:$T$27&gt;$T5))+1)</f>
        <v>4</v>
      </c>
      <c r="W5" s="15" t="str">
        <f aca="false">IF($A5="","",IF($F5&lt;Config!$B$7,"Sem amostra",IF(AND($B5&gt;1,$V5&lt;=Config!$B$8),"⬆ Promoção",IF(AND($B5&lt;5,$V5&gt;COUNTIF($B$3:$B$27,$B5)-Config!$B$8),"⬇ Rebaixamento","—"))))</f>
        <v>⬇ Rebaixamento</v>
      </c>
    </row>
    <row r="6" customFormat="false" ht="15" hidden="false" customHeight="false" outlineLevel="0" collapsed="false">
      <c r="A6" s="20" t="str">
        <f aca="false">Jogadores!A6</f>
        <v>Duda</v>
      </c>
      <c r="B6" s="21" t="n">
        <f aca="false">IFERROR(VLOOKUP($A6,Jogadores!$A$3:$C$120,2,FALSE()),"")</f>
        <v>1</v>
      </c>
      <c r="C6" s="20" t="str">
        <f aca="false">IFERROR(VLOOKUP($B6,Config!$A$29:$C$33,2,FALSE()),"")</f>
        <v>SpamiReza</v>
      </c>
      <c r="D6" s="21" t="str">
        <f aca="false">IFERROR(VLOOKUP($B6,Config!$A$29:$C$33,3,FALSE()),"")</f>
        <v>Champion I</v>
      </c>
      <c r="E6" s="21" t="n">
        <f aca="false">IFERROR(VLOOKUP($A6,Jogadores!$A$3:$C$120,3,FALSE()),"")</f>
        <v>16</v>
      </c>
      <c r="F6" s="21" t="n">
        <f aca="false">COUNTIFS(Dados!$A$3:$A$177,$A6,Dados!$E$3:$E$177,"&gt;=0")</f>
        <v>7</v>
      </c>
      <c r="G6" s="21" t="n">
        <f aca="false">SUMIFS(Dados!$E$3:$E$177,Dados!$A$3:$A$177,$A6)</f>
        <v>20</v>
      </c>
      <c r="H6" s="22" t="n">
        <f aca="false">IFERROR(G6/F6,0)</f>
        <v>2.85714285714286</v>
      </c>
      <c r="I6" s="22" t="n">
        <f aca="false">IFERROR(AVERAGEIFS(Dados!$F$3:$F$177,Dados!$A$3:$A$177,$A6,Dados!$E$3:$E$177,"&gt;=0"),0)</f>
        <v>97.4285714285714</v>
      </c>
      <c r="J6" s="21" t="n">
        <f aca="false">COUNTIFS(Dados!$A$3:$A$177,$A6,Dados!$C$3:$C$177,"S",Dados!$D$3:$D$177,"N")</f>
        <v>7</v>
      </c>
      <c r="K6" s="22" t="n">
        <f aca="false">IFERROR(MIN(1,F6/J6),0)</f>
        <v>1</v>
      </c>
      <c r="L6" s="21" t="n">
        <f aca="false">SUMIFS(Dados!$G$3:$G$177,Dados!$A$3:$A$177,$A6)</f>
        <v>11</v>
      </c>
      <c r="M6" s="21" t="n">
        <f aca="false">SUMIFS(Dados!$H$3:$H$177,Dados!$A$3:$A$177,$A6)</f>
        <v>8</v>
      </c>
      <c r="N6" s="23" t="n">
        <f aca="false">IFERROR(M6/L6,0)</f>
        <v>0.727272727272727</v>
      </c>
      <c r="O6" s="22" t="n">
        <f aca="false">H6/3*100</f>
        <v>95.2380952380952</v>
      </c>
      <c r="P6" s="22" t="n">
        <f aca="false">IF(L6=0,100,(1-M6/(3*L6))*100)</f>
        <v>75.7575757575758</v>
      </c>
      <c r="Q6" s="22" t="n">
        <f aca="false">K6*100</f>
        <v>100</v>
      </c>
      <c r="R6" s="22" t="n">
        <f aca="false">Config!$B$4*O6+Config!$B$5*P6+Config!$B$6*Q6</f>
        <v>92.5324675324675</v>
      </c>
      <c r="S6" s="23" t="n">
        <f aca="false">IFERROR(VLOOKUP($D6,Config!$A$12:$B$24,2,FALSE()),1)</f>
        <v>1</v>
      </c>
      <c r="T6" s="24" t="n">
        <f aca="false">R6*S6</f>
        <v>92.5324675324675</v>
      </c>
      <c r="U6" s="25" t="n">
        <f aca="false">G6+(3*L6-M6)</f>
        <v>45</v>
      </c>
      <c r="V6" s="21" t="n">
        <f aca="false">IF($A6="","",SUMPRODUCT(($B$3:$B$27=$B6)*($T$3:$T$27&gt;$T6))+1)</f>
        <v>3</v>
      </c>
      <c r="W6" s="21" t="str">
        <f aca="false">IF($A6="","",IF($F6&lt;Config!$B$7,"Sem amostra",IF(AND($B6&gt;1,$V6&lt;=Config!$B$8),"⬆ Promoção",IF(AND($B6&lt;5,$V6&gt;COUNTIF($B$3:$B$27,$B6)-Config!$B$8),"⬇ Rebaixamento","—"))))</f>
        <v>—</v>
      </c>
    </row>
    <row r="7" customFormat="false" ht="15" hidden="false" customHeight="false" outlineLevel="0" collapsed="false">
      <c r="A7" s="14" t="str">
        <f aca="false">Jogadores!A7</f>
        <v>Titi</v>
      </c>
      <c r="B7" s="15" t="n">
        <f aca="false">IFERROR(VLOOKUP($A7,Jogadores!$A$3:$C$120,2,FALSE()),"")</f>
        <v>1</v>
      </c>
      <c r="C7" s="14" t="str">
        <f aca="false">IFERROR(VLOOKUP($B7,Config!$A$29:$C$33,2,FALSE()),"")</f>
        <v>SpamiReza</v>
      </c>
      <c r="D7" s="15" t="str">
        <f aca="false">IFERROR(VLOOKUP($B7,Config!$A$29:$C$33,3,FALSE()),"")</f>
        <v>Champion I</v>
      </c>
      <c r="E7" s="15" t="n">
        <f aca="false">IFERROR(VLOOKUP($A7,Jogadores!$A$3:$C$120,3,FALSE()),"")</f>
        <v>15</v>
      </c>
      <c r="F7" s="15" t="n">
        <f aca="false">COUNTIFS(Dados!$A$3:$A$177,$A7,Dados!$E$3:$E$177,"&gt;=0")</f>
        <v>5</v>
      </c>
      <c r="G7" s="15" t="n">
        <f aca="false">SUMIFS(Dados!$E$3:$E$177,Dados!$A$3:$A$177,$A7)</f>
        <v>10</v>
      </c>
      <c r="H7" s="16" t="n">
        <f aca="false">IFERROR(G7/F7,0)</f>
        <v>2</v>
      </c>
      <c r="I7" s="16" t="n">
        <f aca="false">IFERROR(AVERAGEIFS(Dados!$F$3:$F$177,Dados!$A$3:$A$177,$A7,Dados!$E$3:$E$177,"&gt;=0"),0)</f>
        <v>79.2</v>
      </c>
      <c r="J7" s="15" t="n">
        <f aca="false">COUNTIFS(Dados!$A$3:$A$177,$A7,Dados!$C$3:$C$177,"S",Dados!$D$3:$D$177,"N")</f>
        <v>7</v>
      </c>
      <c r="K7" s="16" t="n">
        <f aca="false">IFERROR(MIN(1,F7/J7),0)</f>
        <v>0.714285714285714</v>
      </c>
      <c r="L7" s="15" t="n">
        <f aca="false">SUMIFS(Dados!$G$3:$G$177,Dados!$A$3:$A$177,$A7)</f>
        <v>9</v>
      </c>
      <c r="M7" s="15" t="n">
        <f aca="false">SUMIFS(Dados!$H$3:$H$177,Dados!$A$3:$A$177,$A7)</f>
        <v>7</v>
      </c>
      <c r="N7" s="17" t="n">
        <f aca="false">IFERROR(M7/L7,0)</f>
        <v>0.777777777777778</v>
      </c>
      <c r="O7" s="16" t="n">
        <f aca="false">H7/3*100</f>
        <v>66.6666666666667</v>
      </c>
      <c r="P7" s="16" t="n">
        <f aca="false">IF(L7=0,100,(1-M7/(3*L7))*100)</f>
        <v>74.0740740740741</v>
      </c>
      <c r="Q7" s="16" t="n">
        <f aca="false">K7*100</f>
        <v>71.4285714285714</v>
      </c>
      <c r="R7" s="16" t="n">
        <f aca="false">Config!$B$4*O7+Config!$B$5*P7+Config!$B$6*Q7</f>
        <v>69.3386243386243</v>
      </c>
      <c r="S7" s="17" t="n">
        <f aca="false">IFERROR(VLOOKUP($D7,Config!$A$12:$B$24,2,FALSE()),1)</f>
        <v>1</v>
      </c>
      <c r="T7" s="18" t="n">
        <f aca="false">R7*S7</f>
        <v>69.3386243386243</v>
      </c>
      <c r="U7" s="19" t="n">
        <f aca="false">G7+(3*L7-M7)</f>
        <v>30</v>
      </c>
      <c r="V7" s="15" t="n">
        <f aca="false">IF($A7="","",SUMPRODUCT(($B$3:$B$27=$B7)*($T$3:$T$27&gt;$T7))+1)</f>
        <v>5</v>
      </c>
      <c r="W7" s="15" t="str">
        <f aca="false">IF($A7="","",IF($F7&lt;Config!$B$7,"Sem amostra",IF(AND($B7&gt;1,$V7&lt;=Config!$B$8),"⬆ Promoção",IF(AND($B7&lt;5,$V7&gt;COUNTIF($B$3:$B$27,$B7)-Config!$B$8),"⬇ Rebaixamento","—"))))</f>
        <v>⬇ Rebaixamento</v>
      </c>
    </row>
    <row r="8" customFormat="false" ht="15" hidden="false" customHeight="false" outlineLevel="0" collapsed="false">
      <c r="A8" s="20" t="str">
        <f aca="false">Jogadores!A8</f>
        <v>Renan</v>
      </c>
      <c r="B8" s="21" t="n">
        <f aca="false">IFERROR(VLOOKUP($A8,Jogadores!$A$3:$C$120,2,FALSE()),"")</f>
        <v>2</v>
      </c>
      <c r="C8" s="20" t="str">
        <f aca="false">IFERROR(VLOOKUP($B8,Config!$A$29:$C$33,2,FALSE()),"")</f>
        <v>RezaSpamandu</v>
      </c>
      <c r="D8" s="21" t="str">
        <f aca="false">IFERROR(VLOOKUP($B8,Config!$A$29:$C$33,3,FALSE()),"")</f>
        <v>Champion III</v>
      </c>
      <c r="E8" s="21" t="n">
        <f aca="false">IFERROR(VLOOKUP($A8,Jogadores!$A$3:$C$120,3,FALSE()),"")</f>
        <v>15</v>
      </c>
      <c r="F8" s="21" t="n">
        <f aca="false">COUNTIFS(Dados!$A$3:$A$177,$A8,Dados!$E$3:$E$177,"&gt;=0")</f>
        <v>7</v>
      </c>
      <c r="G8" s="21" t="n">
        <f aca="false">SUMIFS(Dados!$E$3:$E$177,Dados!$A$3:$A$177,$A8)</f>
        <v>18</v>
      </c>
      <c r="H8" s="22" t="n">
        <f aca="false">IFERROR(G8/F8,0)</f>
        <v>2.57142857142857</v>
      </c>
      <c r="I8" s="22" t="n">
        <f aca="false">IFERROR(AVERAGEIFS(Dados!$F$3:$F$177,Dados!$A$3:$A$177,$A8,Dados!$E$3:$E$177,"&gt;=0"),0)</f>
        <v>93.8571428571429</v>
      </c>
      <c r="J8" s="21" t="n">
        <f aca="false">COUNTIFS(Dados!$A$3:$A$177,$A8,Dados!$C$3:$C$177,"S",Dados!$D$3:$D$177,"N")</f>
        <v>7</v>
      </c>
      <c r="K8" s="22" t="n">
        <f aca="false">IFERROR(MIN(1,F8/J8),0)</f>
        <v>1</v>
      </c>
      <c r="L8" s="21" t="n">
        <f aca="false">SUMIFS(Dados!$G$3:$G$177,Dados!$A$3:$A$177,$A8)</f>
        <v>10</v>
      </c>
      <c r="M8" s="21" t="n">
        <f aca="false">SUMIFS(Dados!$H$3:$H$177,Dados!$A$3:$A$177,$A8)</f>
        <v>4</v>
      </c>
      <c r="N8" s="23" t="n">
        <f aca="false">IFERROR(M8/L8,0)</f>
        <v>0.4</v>
      </c>
      <c r="O8" s="22" t="n">
        <f aca="false">H8/3*100</f>
        <v>85.7142857142857</v>
      </c>
      <c r="P8" s="22" t="n">
        <f aca="false">IF(L8=0,100,(1-M8/(3*L8))*100)</f>
        <v>86.6666666666667</v>
      </c>
      <c r="Q8" s="22" t="n">
        <f aca="false">K8*100</f>
        <v>100</v>
      </c>
      <c r="R8" s="22" t="n">
        <f aca="false">Config!$B$4*O8+Config!$B$5*P8+Config!$B$6*Q8</f>
        <v>89.4761904761905</v>
      </c>
      <c r="S8" s="23" t="n">
        <f aca="false">IFERROR(VLOOKUP($D8,Config!$A$12:$B$24,2,FALSE()),1)</f>
        <v>0.96</v>
      </c>
      <c r="T8" s="24" t="n">
        <f aca="false">R8*S8</f>
        <v>85.8971428571429</v>
      </c>
      <c r="U8" s="25" t="n">
        <f aca="false">G8+(3*L8-M8)</f>
        <v>44</v>
      </c>
      <c r="V8" s="21" t="n">
        <f aca="false">IF($A8="","",SUMPRODUCT(($B$3:$B$27=$B8)*($T$3:$T$27&gt;$T8))+1)</f>
        <v>2</v>
      </c>
      <c r="W8" s="21" t="str">
        <f aca="false">IF($A8="","",IF($F8&lt;Config!$B$7,"Sem amostra",IF(AND($B8&gt;1,$V8&lt;=Config!$B$8),"⬆ Promoção",IF(AND($B8&lt;5,$V8&gt;COUNTIF($B$3:$B$27,$B8)-Config!$B$8),"⬇ Rebaixamento","—"))))</f>
        <v>⬆ Promoção</v>
      </c>
    </row>
    <row r="9" customFormat="false" ht="15" hidden="false" customHeight="false" outlineLevel="0" collapsed="false">
      <c r="A9" s="14" t="str">
        <f aca="false">Jogadores!A9</f>
        <v>Gustavo</v>
      </c>
      <c r="B9" s="15" t="n">
        <f aca="false">IFERROR(VLOOKUP($A9,Jogadores!$A$3:$C$120,2,FALSE()),"")</f>
        <v>2</v>
      </c>
      <c r="C9" s="14" t="str">
        <f aca="false">IFERROR(VLOOKUP($B9,Config!$A$29:$C$33,2,FALSE()),"")</f>
        <v>RezaSpamandu</v>
      </c>
      <c r="D9" s="15" t="str">
        <f aca="false">IFERROR(VLOOKUP($B9,Config!$A$29:$C$33,3,FALSE()),"")</f>
        <v>Champion III</v>
      </c>
      <c r="E9" s="15" t="n">
        <f aca="false">IFERROR(VLOOKUP($A9,Jogadores!$A$3:$C$120,3,FALSE()),"")</f>
        <v>15</v>
      </c>
      <c r="F9" s="15" t="n">
        <f aca="false">COUNTIFS(Dados!$A$3:$A$177,$A9,Dados!$E$3:$E$177,"&gt;=0")</f>
        <v>5</v>
      </c>
      <c r="G9" s="15" t="n">
        <f aca="false">SUMIFS(Dados!$E$3:$E$177,Dados!$A$3:$A$177,$A9)</f>
        <v>13</v>
      </c>
      <c r="H9" s="16" t="n">
        <f aca="false">IFERROR(G9/F9,0)</f>
        <v>2.6</v>
      </c>
      <c r="I9" s="16" t="n">
        <f aca="false">IFERROR(AVERAGEIFS(Dados!$F$3:$F$177,Dados!$A$3:$A$177,$A9,Dados!$E$3:$E$177,"&gt;=0"),0)</f>
        <v>92.8</v>
      </c>
      <c r="J9" s="15" t="n">
        <f aca="false">COUNTIFS(Dados!$A$3:$A$177,$A9,Dados!$C$3:$C$177,"S",Dados!$D$3:$D$177,"N")</f>
        <v>7</v>
      </c>
      <c r="K9" s="16" t="n">
        <f aca="false">IFERROR(MIN(1,F9/J9),0)</f>
        <v>0.714285714285714</v>
      </c>
      <c r="L9" s="15" t="n">
        <f aca="false">SUMIFS(Dados!$G$3:$G$177,Dados!$A$3:$A$177,$A9)</f>
        <v>9</v>
      </c>
      <c r="M9" s="15" t="n">
        <f aca="false">SUMIFS(Dados!$H$3:$H$177,Dados!$A$3:$A$177,$A9)</f>
        <v>14</v>
      </c>
      <c r="N9" s="17" t="n">
        <f aca="false">IFERROR(M9/L9,0)</f>
        <v>1.55555555555556</v>
      </c>
      <c r="O9" s="16" t="n">
        <f aca="false">H9/3*100</f>
        <v>86.6666666666667</v>
      </c>
      <c r="P9" s="16" t="n">
        <f aca="false">IF(L9=0,100,(1-M9/(3*L9))*100)</f>
        <v>48.1481481481482</v>
      </c>
      <c r="Q9" s="16" t="n">
        <f aca="false">K9*100</f>
        <v>71.4285714285714</v>
      </c>
      <c r="R9" s="16" t="n">
        <f aca="false">Config!$B$4*O9+Config!$B$5*P9+Config!$B$6*Q9</f>
        <v>75.1534391534392</v>
      </c>
      <c r="S9" s="17" t="n">
        <f aca="false">IFERROR(VLOOKUP($D9,Config!$A$12:$B$24,2,FALSE()),1)</f>
        <v>0.96</v>
      </c>
      <c r="T9" s="18" t="n">
        <f aca="false">R9*S9</f>
        <v>72.1473015873016</v>
      </c>
      <c r="U9" s="19" t="n">
        <f aca="false">G9+(3*L9-M9)</f>
        <v>26</v>
      </c>
      <c r="V9" s="15" t="n">
        <f aca="false">IF($A9="","",SUMPRODUCT(($B$3:$B$27=$B9)*($T$3:$T$27&gt;$T9))+1)</f>
        <v>4</v>
      </c>
      <c r="W9" s="15" t="str">
        <f aca="false">IF($A9="","",IF($F9&lt;Config!$B$7,"Sem amostra",IF(AND($B9&gt;1,$V9&lt;=Config!$B$8),"⬆ Promoção",IF(AND($B9&lt;5,$V9&gt;COUNTIF($B$3:$B$27,$B9)-Config!$B$8),"⬇ Rebaixamento","—"))))</f>
        <v>⬇ Rebaixamento</v>
      </c>
    </row>
    <row r="10" customFormat="false" ht="15" hidden="false" customHeight="false" outlineLevel="0" collapsed="false">
      <c r="A10" s="20" t="str">
        <f aca="false">Jogadores!A10</f>
        <v>Léo</v>
      </c>
      <c r="B10" s="21" t="n">
        <f aca="false">IFERROR(VLOOKUP($A10,Jogadores!$A$3:$C$120,2,FALSE()),"")</f>
        <v>2</v>
      </c>
      <c r="C10" s="20" t="str">
        <f aca="false">IFERROR(VLOOKUP($B10,Config!$A$29:$C$33,2,FALSE()),"")</f>
        <v>RezaSpamandu</v>
      </c>
      <c r="D10" s="21" t="str">
        <f aca="false">IFERROR(VLOOKUP($B10,Config!$A$29:$C$33,3,FALSE()),"")</f>
        <v>Champion III</v>
      </c>
      <c r="E10" s="21" t="n">
        <f aca="false">IFERROR(VLOOKUP($A10,Jogadores!$A$3:$C$120,3,FALSE()),"")</f>
        <v>14</v>
      </c>
      <c r="F10" s="21" t="n">
        <f aca="false">COUNTIFS(Dados!$A$3:$A$177,$A10,Dados!$E$3:$E$177,"&gt;=0")</f>
        <v>7</v>
      </c>
      <c r="G10" s="21" t="n">
        <f aca="false">SUMIFS(Dados!$E$3:$E$177,Dados!$A$3:$A$177,$A10)</f>
        <v>19</v>
      </c>
      <c r="H10" s="22" t="n">
        <f aca="false">IFERROR(G10/F10,0)</f>
        <v>2.71428571428571</v>
      </c>
      <c r="I10" s="22" t="n">
        <f aca="false">IFERROR(AVERAGEIFS(Dados!$F$3:$F$177,Dados!$A$3:$A$177,$A10,Dados!$E$3:$E$177,"&gt;=0"),0)</f>
        <v>95.4285714285714</v>
      </c>
      <c r="J10" s="21" t="n">
        <f aca="false">COUNTIFS(Dados!$A$3:$A$177,$A10,Dados!$C$3:$C$177,"S",Dados!$D$3:$D$177,"N")</f>
        <v>7</v>
      </c>
      <c r="K10" s="22" t="n">
        <f aca="false">IFERROR(MIN(1,F10/J10),0)</f>
        <v>1</v>
      </c>
      <c r="L10" s="21" t="n">
        <f aca="false">SUMIFS(Dados!$G$3:$G$177,Dados!$A$3:$A$177,$A10)</f>
        <v>10</v>
      </c>
      <c r="M10" s="21" t="n">
        <f aca="false">SUMIFS(Dados!$H$3:$H$177,Dados!$A$3:$A$177,$A10)</f>
        <v>9</v>
      </c>
      <c r="N10" s="23" t="n">
        <f aca="false">IFERROR(M10/L10,0)</f>
        <v>0.9</v>
      </c>
      <c r="O10" s="22" t="n">
        <f aca="false">H10/3*100</f>
        <v>90.4761904761905</v>
      </c>
      <c r="P10" s="22" t="n">
        <f aca="false">IF(L10=0,100,(1-M10/(3*L10))*100)</f>
        <v>70</v>
      </c>
      <c r="Q10" s="22" t="n">
        <f aca="false">K10*100</f>
        <v>100</v>
      </c>
      <c r="R10" s="22" t="n">
        <f aca="false">Config!$B$4*O10+Config!$B$5*P10+Config!$B$6*Q10</f>
        <v>88.7619047619048</v>
      </c>
      <c r="S10" s="23" t="n">
        <f aca="false">IFERROR(VLOOKUP($D10,Config!$A$12:$B$24,2,FALSE()),1)</f>
        <v>0.96</v>
      </c>
      <c r="T10" s="24" t="n">
        <f aca="false">R10*S10</f>
        <v>85.2114285714286</v>
      </c>
      <c r="U10" s="25" t="n">
        <f aca="false">G10+(3*L10-M10)</f>
        <v>40</v>
      </c>
      <c r="V10" s="21" t="n">
        <f aca="false">IF($A10="","",SUMPRODUCT(($B$3:$B$27=$B10)*($T$3:$T$27&gt;$T10))+1)</f>
        <v>3</v>
      </c>
      <c r="W10" s="21" t="str">
        <f aca="false">IF($A10="","",IF($F10&lt;Config!$B$7,"Sem amostra",IF(AND($B10&gt;1,$V10&lt;=Config!$B$8),"⬆ Promoção",IF(AND($B10&lt;5,$V10&gt;COUNTIF($B$3:$B$27,$B10)-Config!$B$8),"⬇ Rebaixamento","—"))))</f>
        <v>—</v>
      </c>
    </row>
    <row r="11" customFormat="false" ht="15" hidden="false" customHeight="false" outlineLevel="0" collapsed="false">
      <c r="A11" s="14" t="str">
        <f aca="false">Jogadores!A11</f>
        <v>Mari</v>
      </c>
      <c r="B11" s="15" t="n">
        <f aca="false">IFERROR(VLOOKUP($A11,Jogadores!$A$3:$C$120,2,FALSE()),"")</f>
        <v>2</v>
      </c>
      <c r="C11" s="14" t="str">
        <f aca="false">IFERROR(VLOOKUP($B11,Config!$A$29:$C$33,2,FALSE()),"")</f>
        <v>RezaSpamandu</v>
      </c>
      <c r="D11" s="15" t="str">
        <f aca="false">IFERROR(VLOOKUP($B11,Config!$A$29:$C$33,3,FALSE()),"")</f>
        <v>Champion III</v>
      </c>
      <c r="E11" s="15" t="n">
        <f aca="false">IFERROR(VLOOKUP($A11,Jogadores!$A$3:$C$120,3,FALSE()),"")</f>
        <v>15</v>
      </c>
      <c r="F11" s="15" t="n">
        <f aca="false">COUNTIFS(Dados!$A$3:$A$177,$A11,Dados!$E$3:$E$177,"&gt;=0")</f>
        <v>6</v>
      </c>
      <c r="G11" s="15" t="n">
        <f aca="false">SUMIFS(Dados!$E$3:$E$177,Dados!$A$3:$A$177,$A11)</f>
        <v>18</v>
      </c>
      <c r="H11" s="16" t="n">
        <f aca="false">IFERROR(G11/F11,0)</f>
        <v>3</v>
      </c>
      <c r="I11" s="16" t="n">
        <f aca="false">IFERROR(AVERAGEIFS(Dados!$F$3:$F$177,Dados!$A$3:$A$177,$A11,Dados!$E$3:$E$177,"&gt;=0"),0)</f>
        <v>98.3333333333333</v>
      </c>
      <c r="J11" s="15" t="n">
        <f aca="false">COUNTIFS(Dados!$A$3:$A$177,$A11,Dados!$C$3:$C$177,"S",Dados!$D$3:$D$177,"N")</f>
        <v>7</v>
      </c>
      <c r="K11" s="16" t="n">
        <f aca="false">IFERROR(MIN(1,F11/J11),0)</f>
        <v>0.857142857142857</v>
      </c>
      <c r="L11" s="15" t="n">
        <f aca="false">SUMIFS(Dados!$G$3:$G$177,Dados!$A$3:$A$177,$A11)</f>
        <v>11</v>
      </c>
      <c r="M11" s="15" t="n">
        <f aca="false">SUMIFS(Dados!$H$3:$H$177,Dados!$A$3:$A$177,$A11)</f>
        <v>9</v>
      </c>
      <c r="N11" s="17" t="n">
        <f aca="false">IFERROR(M11/L11,0)</f>
        <v>0.818181818181818</v>
      </c>
      <c r="O11" s="16" t="n">
        <f aca="false">H11/3*100</f>
        <v>100</v>
      </c>
      <c r="P11" s="16" t="n">
        <f aca="false">IF(L11=0,100,(1-M11/(3*L11))*100)</f>
        <v>72.7272727272727</v>
      </c>
      <c r="Q11" s="16" t="n">
        <f aca="false">K11*100</f>
        <v>85.7142857142857</v>
      </c>
      <c r="R11" s="16" t="n">
        <f aca="false">Config!$B$4*O11+Config!$B$5*P11+Config!$B$6*Q11</f>
        <v>90.974025974026</v>
      </c>
      <c r="S11" s="17" t="n">
        <f aca="false">IFERROR(VLOOKUP($D11,Config!$A$12:$B$24,2,FALSE()),1)</f>
        <v>0.96</v>
      </c>
      <c r="T11" s="18" t="n">
        <f aca="false">R11*S11</f>
        <v>87.335064935065</v>
      </c>
      <c r="U11" s="19" t="n">
        <f aca="false">G11+(3*L11-M11)</f>
        <v>42</v>
      </c>
      <c r="V11" s="15" t="n">
        <f aca="false">IF($A11="","",SUMPRODUCT(($B$3:$B$27=$B11)*($T$3:$T$27&gt;$T11))+1)</f>
        <v>1</v>
      </c>
      <c r="W11" s="15" t="str">
        <f aca="false">IF($A11="","",IF($F11&lt;Config!$B$7,"Sem amostra",IF(AND($B11&gt;1,$V11&lt;=Config!$B$8),"⬆ Promoção",IF(AND($B11&lt;5,$V11&gt;COUNTIF($B$3:$B$27,$B11)-Config!$B$8),"⬇ Rebaixamento","—"))))</f>
        <v>⬆ Promoção</v>
      </c>
    </row>
    <row r="12" customFormat="false" ht="15" hidden="false" customHeight="false" outlineLevel="0" collapsed="false">
      <c r="A12" s="20" t="str">
        <f aca="false">Jogadores!A12</f>
        <v>Zé</v>
      </c>
      <c r="B12" s="21" t="n">
        <f aca="false">IFERROR(VLOOKUP($A12,Jogadores!$A$3:$C$120,2,FALSE()),"")</f>
        <v>2</v>
      </c>
      <c r="C12" s="20" t="str">
        <f aca="false">IFERROR(VLOOKUP($B12,Config!$A$29:$C$33,2,FALSE()),"")</f>
        <v>RezaSpamandu</v>
      </c>
      <c r="D12" s="21" t="str">
        <f aca="false">IFERROR(VLOOKUP($B12,Config!$A$29:$C$33,3,FALSE()),"")</f>
        <v>Champion III</v>
      </c>
      <c r="E12" s="21" t="n">
        <f aca="false">IFERROR(VLOOKUP($A12,Jogadores!$A$3:$C$120,3,FALSE()),"")</f>
        <v>14</v>
      </c>
      <c r="F12" s="21" t="n">
        <f aca="false">COUNTIFS(Dados!$A$3:$A$177,$A12,Dados!$E$3:$E$177,"&gt;=0")</f>
        <v>1</v>
      </c>
      <c r="G12" s="21" t="n">
        <f aca="false">SUMIFS(Dados!$E$3:$E$177,Dados!$A$3:$A$177,$A12)</f>
        <v>1</v>
      </c>
      <c r="H12" s="22" t="n">
        <f aca="false">IFERROR(G12/F12,0)</f>
        <v>1</v>
      </c>
      <c r="I12" s="22" t="n">
        <f aca="false">IFERROR(AVERAGEIFS(Dados!$F$3:$F$177,Dados!$A$3:$A$177,$A12,Dados!$E$3:$E$177,"&gt;=0"),0)</f>
        <v>69</v>
      </c>
      <c r="J12" s="21" t="n">
        <f aca="false">COUNTIFS(Dados!$A$3:$A$177,$A12,Dados!$C$3:$C$177,"S",Dados!$D$3:$D$177,"N")</f>
        <v>5</v>
      </c>
      <c r="K12" s="22" t="n">
        <f aca="false">IFERROR(MIN(1,F12/J12),0)</f>
        <v>0.2</v>
      </c>
      <c r="L12" s="21" t="n">
        <f aca="false">SUMIFS(Dados!$G$3:$G$177,Dados!$A$3:$A$177,$A12)</f>
        <v>10</v>
      </c>
      <c r="M12" s="21" t="n">
        <f aca="false">SUMIFS(Dados!$H$3:$H$177,Dados!$A$3:$A$177,$A12)</f>
        <v>16</v>
      </c>
      <c r="N12" s="23" t="n">
        <f aca="false">IFERROR(M12/L12,0)</f>
        <v>1.6</v>
      </c>
      <c r="O12" s="22" t="n">
        <f aca="false">H12/3*100</f>
        <v>33.3333333333333</v>
      </c>
      <c r="P12" s="22" t="n">
        <f aca="false">IF(L12=0,100,(1-M12/(3*L12))*100)</f>
        <v>46.6666666666667</v>
      </c>
      <c r="Q12" s="22" t="n">
        <f aca="false">K12*100</f>
        <v>20</v>
      </c>
      <c r="R12" s="22" t="n">
        <f aca="false">Config!$B$4*O12+Config!$B$5*P12+Config!$B$6*Q12</f>
        <v>32.6666666666667</v>
      </c>
      <c r="S12" s="23" t="n">
        <f aca="false">IFERROR(VLOOKUP($D12,Config!$A$12:$B$24,2,FALSE()),1)</f>
        <v>0.96</v>
      </c>
      <c r="T12" s="24" t="n">
        <f aca="false">R12*S12</f>
        <v>31.36</v>
      </c>
      <c r="U12" s="25" t="n">
        <f aca="false">G12+(3*L12-M12)</f>
        <v>15</v>
      </c>
      <c r="V12" s="21" t="n">
        <f aca="false">IF($A12="","",SUMPRODUCT(($B$3:$B$27=$B12)*($T$3:$T$27&gt;$T12))+1)</f>
        <v>5</v>
      </c>
      <c r="W12" s="21" t="str">
        <f aca="false">IF($A12="","",IF($F12&lt;Config!$B$7,"Sem amostra",IF(AND($B12&gt;1,$V12&lt;=Config!$B$8),"⬆ Promoção",IF(AND($B12&lt;5,$V12&gt;COUNTIF($B$3:$B$27,$B12)-Config!$B$8),"⬇ Rebaixamento","—"))))</f>
        <v>Sem amostra</v>
      </c>
    </row>
    <row r="13" customFormat="false" ht="15" hidden="false" customHeight="false" outlineLevel="0" collapsed="false">
      <c r="A13" s="14" t="str">
        <f aca="false">Jogadores!A13</f>
        <v>Pedro</v>
      </c>
      <c r="B13" s="15" t="n">
        <f aca="false">IFERROR(VLOOKUP($A13,Jogadores!$A$3:$C$120,2,FALSE()),"")</f>
        <v>3</v>
      </c>
      <c r="C13" s="14" t="str">
        <f aca="false">IFERROR(VLOOKUP($B13,Config!$A$29:$C$33,2,FALSE()),"")</f>
        <v>ScamiReza</v>
      </c>
      <c r="D13" s="15" t="str">
        <f aca="false">IFERROR(VLOOKUP($B13,Config!$A$29:$C$33,3,FALSE()),"")</f>
        <v>Master I</v>
      </c>
      <c r="E13" s="15" t="n">
        <f aca="false">IFERROR(VLOOKUP($A13,Jogadores!$A$3:$C$120,3,FALSE()),"")</f>
        <v>14</v>
      </c>
      <c r="F13" s="15" t="n">
        <f aca="false">COUNTIFS(Dados!$A$3:$A$177,$A13,Dados!$E$3:$E$177,"&gt;=0")</f>
        <v>7</v>
      </c>
      <c r="G13" s="15" t="n">
        <f aca="false">SUMIFS(Dados!$E$3:$E$177,Dados!$A$3:$A$177,$A13)</f>
        <v>19</v>
      </c>
      <c r="H13" s="16" t="n">
        <f aca="false">IFERROR(G13/F13,0)</f>
        <v>2.71428571428571</v>
      </c>
      <c r="I13" s="16" t="n">
        <f aca="false">IFERROR(AVERAGEIFS(Dados!$F$3:$F$177,Dados!$A$3:$A$177,$A13,Dados!$E$3:$E$177,"&gt;=0"),0)</f>
        <v>97.7142857142857</v>
      </c>
      <c r="J13" s="15" t="n">
        <f aca="false">COUNTIFS(Dados!$A$3:$A$177,$A13,Dados!$C$3:$C$177,"S",Dados!$D$3:$D$177,"N")</f>
        <v>7</v>
      </c>
      <c r="K13" s="16" t="n">
        <f aca="false">IFERROR(MIN(1,F13/J13),0)</f>
        <v>1</v>
      </c>
      <c r="L13" s="15" t="n">
        <f aca="false">SUMIFS(Dados!$G$3:$G$177,Dados!$A$3:$A$177,$A13)</f>
        <v>9</v>
      </c>
      <c r="M13" s="15" t="n">
        <f aca="false">SUMIFS(Dados!$H$3:$H$177,Dados!$A$3:$A$177,$A13)</f>
        <v>5</v>
      </c>
      <c r="N13" s="17" t="n">
        <f aca="false">IFERROR(M13/L13,0)</f>
        <v>0.555555555555556</v>
      </c>
      <c r="O13" s="16" t="n">
        <f aca="false">H13/3*100</f>
        <v>90.4761904761905</v>
      </c>
      <c r="P13" s="16" t="n">
        <f aca="false">IF(L13=0,100,(1-M13/(3*L13))*100)</f>
        <v>81.4814814814815</v>
      </c>
      <c r="Q13" s="16" t="n">
        <f aca="false">K13*100</f>
        <v>100</v>
      </c>
      <c r="R13" s="16" t="n">
        <f aca="false">Config!$B$4*O13+Config!$B$5*P13+Config!$B$6*Q13</f>
        <v>91.0582010582011</v>
      </c>
      <c r="S13" s="17" t="n">
        <f aca="false">IFERROR(VLOOKUP($D13,Config!$A$12:$B$24,2,FALSE()),1)</f>
        <v>0.93</v>
      </c>
      <c r="T13" s="18" t="n">
        <f aca="false">R13*S13</f>
        <v>84.684126984127</v>
      </c>
      <c r="U13" s="19" t="n">
        <f aca="false">G13+(3*L13-M13)</f>
        <v>41</v>
      </c>
      <c r="V13" s="15" t="n">
        <f aca="false">IF($A13="","",SUMPRODUCT(($B$3:$B$27=$B13)*($T$3:$T$27&gt;$T13))+1)</f>
        <v>2</v>
      </c>
      <c r="W13" s="15" t="str">
        <f aca="false">IF($A13="","",IF($F13&lt;Config!$B$7,"Sem amostra",IF(AND($B13&gt;1,$V13&lt;=Config!$B$8),"⬆ Promoção",IF(AND($B13&lt;5,$V13&gt;COUNTIF($B$3:$B$27,$B13)-Config!$B$8),"⬇ Rebaixamento","—"))))</f>
        <v>⬆ Promoção</v>
      </c>
    </row>
    <row r="14" customFormat="false" ht="15" hidden="false" customHeight="false" outlineLevel="0" collapsed="false">
      <c r="A14" s="20" t="str">
        <f aca="false">Jogadores!A14</f>
        <v>Nanda</v>
      </c>
      <c r="B14" s="21" t="n">
        <f aca="false">IFERROR(VLOOKUP($A14,Jogadores!$A$3:$C$120,2,FALSE()),"")</f>
        <v>3</v>
      </c>
      <c r="C14" s="20" t="str">
        <f aca="false">IFERROR(VLOOKUP($B14,Config!$A$29:$C$33,2,FALSE()),"")</f>
        <v>ScamiReza</v>
      </c>
      <c r="D14" s="21" t="str">
        <f aca="false">IFERROR(VLOOKUP($B14,Config!$A$29:$C$33,3,FALSE()),"")</f>
        <v>Master I</v>
      </c>
      <c r="E14" s="21" t="n">
        <f aca="false">IFERROR(VLOOKUP($A14,Jogadores!$A$3:$C$120,3,FALSE()),"")</f>
        <v>14</v>
      </c>
      <c r="F14" s="21" t="n">
        <f aca="false">COUNTIFS(Dados!$A$3:$A$177,$A14,Dados!$E$3:$E$177,"&gt;=0")</f>
        <v>5</v>
      </c>
      <c r="G14" s="21" t="n">
        <f aca="false">SUMIFS(Dados!$E$3:$E$177,Dados!$A$3:$A$177,$A14)</f>
        <v>14</v>
      </c>
      <c r="H14" s="22" t="n">
        <f aca="false">IFERROR(G14/F14,0)</f>
        <v>2.8</v>
      </c>
      <c r="I14" s="22" t="n">
        <f aca="false">IFERROR(AVERAGEIFS(Dados!$F$3:$F$177,Dados!$A$3:$A$177,$A14,Dados!$E$3:$E$177,"&gt;=0"),0)</f>
        <v>96.6</v>
      </c>
      <c r="J14" s="21" t="n">
        <f aca="false">COUNTIFS(Dados!$A$3:$A$177,$A14,Dados!$C$3:$C$177,"S",Dados!$D$3:$D$177,"N")</f>
        <v>7</v>
      </c>
      <c r="K14" s="22" t="n">
        <f aca="false">IFERROR(MIN(1,F14/J14),0)</f>
        <v>0.714285714285714</v>
      </c>
      <c r="L14" s="21" t="n">
        <f aca="false">SUMIFS(Dados!$G$3:$G$177,Dados!$A$3:$A$177,$A14)</f>
        <v>11</v>
      </c>
      <c r="M14" s="21" t="n">
        <f aca="false">SUMIFS(Dados!$H$3:$H$177,Dados!$A$3:$A$177,$A14)</f>
        <v>7</v>
      </c>
      <c r="N14" s="23" t="n">
        <f aca="false">IFERROR(M14/L14,0)</f>
        <v>0.636363636363636</v>
      </c>
      <c r="O14" s="22" t="n">
        <f aca="false">H14/3*100</f>
        <v>93.3333333333333</v>
      </c>
      <c r="P14" s="22" t="n">
        <f aca="false">IF(L14=0,100,(1-M14/(3*L14))*100)</f>
        <v>78.7878787878788</v>
      </c>
      <c r="Q14" s="22" t="n">
        <f aca="false">K14*100</f>
        <v>71.4285714285714</v>
      </c>
      <c r="R14" s="22" t="n">
        <f aca="false">Config!$B$4*O14+Config!$B$5*P14+Config!$B$6*Q14</f>
        <v>84.948051948052</v>
      </c>
      <c r="S14" s="23" t="n">
        <f aca="false">IFERROR(VLOOKUP($D14,Config!$A$12:$B$24,2,FALSE()),1)</f>
        <v>0.93</v>
      </c>
      <c r="T14" s="24" t="n">
        <f aca="false">R14*S14</f>
        <v>79.0016883116883</v>
      </c>
      <c r="U14" s="25" t="n">
        <f aca="false">G14+(3*L14-M14)</f>
        <v>40</v>
      </c>
      <c r="V14" s="21" t="n">
        <f aca="false">IF($A14="","",SUMPRODUCT(($B$3:$B$27=$B14)*($T$3:$T$27&gt;$T14))+1)</f>
        <v>4</v>
      </c>
      <c r="W14" s="21" t="str">
        <f aca="false">IF($A14="","",IF($F14&lt;Config!$B$7,"Sem amostra",IF(AND($B14&gt;1,$V14&lt;=Config!$B$8),"⬆ Promoção",IF(AND($B14&lt;5,$V14&gt;COUNTIF($B$3:$B$27,$B14)-Config!$B$8),"⬇ Rebaixamento","—"))))</f>
        <v>⬇ Rebaixamento</v>
      </c>
    </row>
    <row r="15" customFormat="false" ht="15" hidden="false" customHeight="false" outlineLevel="0" collapsed="false">
      <c r="A15" s="14" t="str">
        <f aca="false">Jogadores!A15</f>
        <v>Rafa</v>
      </c>
      <c r="B15" s="15" t="n">
        <f aca="false">IFERROR(VLOOKUP($A15,Jogadores!$A$3:$C$120,2,FALSE()),"")</f>
        <v>3</v>
      </c>
      <c r="C15" s="14" t="str">
        <f aca="false">IFERROR(VLOOKUP($B15,Config!$A$29:$C$33,2,FALSE()),"")</f>
        <v>ScamiReza</v>
      </c>
      <c r="D15" s="15" t="str">
        <f aca="false">IFERROR(VLOOKUP($B15,Config!$A$29:$C$33,3,FALSE()),"")</f>
        <v>Master I</v>
      </c>
      <c r="E15" s="15" t="n">
        <f aca="false">IFERROR(VLOOKUP($A15,Jogadores!$A$3:$C$120,3,FALSE()),"")</f>
        <v>13</v>
      </c>
      <c r="F15" s="15" t="n">
        <f aca="false">COUNTIFS(Dados!$A$3:$A$177,$A15,Dados!$E$3:$E$177,"&gt;=0")</f>
        <v>7</v>
      </c>
      <c r="G15" s="15" t="n">
        <f aca="false">SUMIFS(Dados!$E$3:$E$177,Dados!$A$3:$A$177,$A15)</f>
        <v>19</v>
      </c>
      <c r="H15" s="16" t="n">
        <f aca="false">IFERROR(G15/F15,0)</f>
        <v>2.71428571428571</v>
      </c>
      <c r="I15" s="16" t="n">
        <f aca="false">IFERROR(AVERAGEIFS(Dados!$F$3:$F$177,Dados!$A$3:$A$177,$A15,Dados!$E$3:$E$177,"&gt;=0"),0)</f>
        <v>96.5714285714286</v>
      </c>
      <c r="J15" s="15" t="n">
        <f aca="false">COUNTIFS(Dados!$A$3:$A$177,$A15,Dados!$C$3:$C$177,"S",Dados!$D$3:$D$177,"N")</f>
        <v>7</v>
      </c>
      <c r="K15" s="16" t="n">
        <f aca="false">IFERROR(MIN(1,F15/J15),0)</f>
        <v>1</v>
      </c>
      <c r="L15" s="15" t="n">
        <f aca="false">SUMIFS(Dados!$G$3:$G$177,Dados!$A$3:$A$177,$A15)</f>
        <v>14</v>
      </c>
      <c r="M15" s="15" t="n">
        <f aca="false">SUMIFS(Dados!$H$3:$H$177,Dados!$A$3:$A$177,$A15)</f>
        <v>6</v>
      </c>
      <c r="N15" s="17" t="n">
        <f aca="false">IFERROR(M15/L15,0)</f>
        <v>0.428571428571429</v>
      </c>
      <c r="O15" s="16" t="n">
        <f aca="false">H15/3*100</f>
        <v>90.4761904761905</v>
      </c>
      <c r="P15" s="16" t="n">
        <f aca="false">IF(L15=0,100,(1-M15/(3*L15))*100)</f>
        <v>85.7142857142857</v>
      </c>
      <c r="Q15" s="16" t="n">
        <f aca="false">K15*100</f>
        <v>100</v>
      </c>
      <c r="R15" s="16" t="n">
        <f aca="false">Config!$B$4*O15+Config!$B$5*P15+Config!$B$6*Q15</f>
        <v>91.9047619047619</v>
      </c>
      <c r="S15" s="17" t="n">
        <f aca="false">IFERROR(VLOOKUP($D15,Config!$A$12:$B$24,2,FALSE()),1)</f>
        <v>0.93</v>
      </c>
      <c r="T15" s="18" t="n">
        <f aca="false">R15*S15</f>
        <v>85.4714285714286</v>
      </c>
      <c r="U15" s="19" t="n">
        <f aca="false">G15+(3*L15-M15)</f>
        <v>55</v>
      </c>
      <c r="V15" s="15" t="n">
        <f aca="false">IF($A15="","",SUMPRODUCT(($B$3:$B$27=$B15)*($T$3:$T$27&gt;$T15))+1)</f>
        <v>1</v>
      </c>
      <c r="W15" s="15" t="str">
        <f aca="false">IF($A15="","",IF($F15&lt;Config!$B$7,"Sem amostra",IF(AND($B15&gt;1,$V15&lt;=Config!$B$8),"⬆ Promoção",IF(AND($B15&lt;5,$V15&gt;COUNTIF($B$3:$B$27,$B15)-Config!$B$8),"⬇ Rebaixamento","—"))))</f>
        <v>⬆ Promoção</v>
      </c>
    </row>
    <row r="16" customFormat="false" ht="15" hidden="false" customHeight="false" outlineLevel="0" collapsed="false">
      <c r="A16" s="20" t="str">
        <f aca="false">Jogadores!A16</f>
        <v>Vini</v>
      </c>
      <c r="B16" s="21" t="n">
        <f aca="false">IFERROR(VLOOKUP($A16,Jogadores!$A$3:$C$120,2,FALSE()),"")</f>
        <v>3</v>
      </c>
      <c r="C16" s="20" t="str">
        <f aca="false">IFERROR(VLOOKUP($B16,Config!$A$29:$C$33,2,FALSE()),"")</f>
        <v>ScamiReza</v>
      </c>
      <c r="D16" s="21" t="str">
        <f aca="false">IFERROR(VLOOKUP($B16,Config!$A$29:$C$33,3,FALSE()),"")</f>
        <v>Master I</v>
      </c>
      <c r="E16" s="21" t="n">
        <f aca="false">IFERROR(VLOOKUP($A16,Jogadores!$A$3:$C$120,3,FALSE()),"")</f>
        <v>14</v>
      </c>
      <c r="F16" s="21" t="n">
        <f aca="false">COUNTIFS(Dados!$A$3:$A$177,$A16,Dados!$E$3:$E$177,"&gt;=0")</f>
        <v>4</v>
      </c>
      <c r="G16" s="21" t="n">
        <f aca="false">SUMIFS(Dados!$E$3:$E$177,Dados!$A$3:$A$177,$A16)</f>
        <v>12</v>
      </c>
      <c r="H16" s="22" t="n">
        <f aca="false">IFERROR(G16/F16,0)</f>
        <v>3</v>
      </c>
      <c r="I16" s="22" t="n">
        <f aca="false">IFERROR(AVERAGEIFS(Dados!$F$3:$F$177,Dados!$A$3:$A$177,$A16,Dados!$E$3:$E$177,"&gt;=0"),0)</f>
        <v>97.5</v>
      </c>
      <c r="J16" s="21" t="n">
        <f aca="false">COUNTIFS(Dados!$A$3:$A$177,$A16,Dados!$C$3:$C$177,"S",Dados!$D$3:$D$177,"N")</f>
        <v>6</v>
      </c>
      <c r="K16" s="22" t="n">
        <f aca="false">IFERROR(MIN(1,F16/J16),0)</f>
        <v>0.666666666666667</v>
      </c>
      <c r="L16" s="21" t="n">
        <f aca="false">SUMIFS(Dados!$G$3:$G$177,Dados!$A$3:$A$177,$A16)</f>
        <v>11</v>
      </c>
      <c r="M16" s="21" t="n">
        <f aca="false">SUMIFS(Dados!$H$3:$H$177,Dados!$A$3:$A$177,$A16)</f>
        <v>7</v>
      </c>
      <c r="N16" s="23" t="n">
        <f aca="false">IFERROR(M16/L16,0)</f>
        <v>0.636363636363636</v>
      </c>
      <c r="O16" s="22" t="n">
        <f aca="false">H16/3*100</f>
        <v>100</v>
      </c>
      <c r="P16" s="22" t="n">
        <f aca="false">IF(L16=0,100,(1-M16/(3*L16))*100)</f>
        <v>78.7878787878788</v>
      </c>
      <c r="Q16" s="22" t="n">
        <f aca="false">K16*100</f>
        <v>66.6666666666667</v>
      </c>
      <c r="R16" s="22" t="n">
        <f aca="false">Config!$B$4*O16+Config!$B$5*P16+Config!$B$6*Q16</f>
        <v>87.4242424242424</v>
      </c>
      <c r="S16" s="23" t="n">
        <f aca="false">IFERROR(VLOOKUP($D16,Config!$A$12:$B$24,2,FALSE()),1)</f>
        <v>0.93</v>
      </c>
      <c r="T16" s="24" t="n">
        <f aca="false">R16*S16</f>
        <v>81.3045454545455</v>
      </c>
      <c r="U16" s="25" t="n">
        <f aca="false">G16+(3*L16-M16)</f>
        <v>38</v>
      </c>
      <c r="V16" s="21" t="n">
        <f aca="false">IF($A16="","",SUMPRODUCT(($B$3:$B$27=$B16)*($T$3:$T$27&gt;$T16))+1)</f>
        <v>3</v>
      </c>
      <c r="W16" s="21" t="str">
        <f aca="false">IF($A16="","",IF($F16&lt;Config!$B$7,"Sem amostra",IF(AND($B16&gt;1,$V16&lt;=Config!$B$8),"⬆ Promoção",IF(AND($B16&lt;5,$V16&gt;COUNTIF($B$3:$B$27,$B16)-Config!$B$8),"⬇ Rebaixamento","—"))))</f>
        <v>—</v>
      </c>
    </row>
    <row r="17" customFormat="false" ht="15" hidden="false" customHeight="false" outlineLevel="0" collapsed="false">
      <c r="A17" s="14" t="str">
        <f aca="false">Jogadores!A17</f>
        <v>Bia</v>
      </c>
      <c r="B17" s="15" t="n">
        <f aca="false">IFERROR(VLOOKUP($A17,Jogadores!$A$3:$C$120,2,FALSE()),"")</f>
        <v>3</v>
      </c>
      <c r="C17" s="14" t="str">
        <f aca="false">IFERROR(VLOOKUP($B17,Config!$A$29:$C$33,2,FALSE()),"")</f>
        <v>ScamiReza</v>
      </c>
      <c r="D17" s="15" t="str">
        <f aca="false">IFERROR(VLOOKUP($B17,Config!$A$29:$C$33,3,FALSE()),"")</f>
        <v>Master I</v>
      </c>
      <c r="E17" s="15" t="n">
        <f aca="false">IFERROR(VLOOKUP($A17,Jogadores!$A$3:$C$120,3,FALSE()),"")</f>
        <v>13</v>
      </c>
      <c r="F17" s="15" t="n">
        <f aca="false">COUNTIFS(Dados!$A$3:$A$177,$A17,Dados!$E$3:$E$177,"&gt;=0")</f>
        <v>3</v>
      </c>
      <c r="G17" s="15" t="n">
        <f aca="false">SUMIFS(Dados!$E$3:$E$177,Dados!$A$3:$A$177,$A17)</f>
        <v>9</v>
      </c>
      <c r="H17" s="16" t="n">
        <f aca="false">IFERROR(G17/F17,0)</f>
        <v>3</v>
      </c>
      <c r="I17" s="16" t="n">
        <f aca="false">IFERROR(AVERAGEIFS(Dados!$F$3:$F$177,Dados!$A$3:$A$177,$A17,Dados!$E$3:$E$177,"&gt;=0"),0)</f>
        <v>96</v>
      </c>
      <c r="J17" s="15" t="n">
        <f aca="false">COUNTIFS(Dados!$A$3:$A$177,$A17,Dados!$C$3:$C$177,"S",Dados!$D$3:$D$177,"N")</f>
        <v>5</v>
      </c>
      <c r="K17" s="16" t="n">
        <f aca="false">IFERROR(MIN(1,F17/J17),0)</f>
        <v>0.6</v>
      </c>
      <c r="L17" s="15" t="n">
        <f aca="false">SUMIFS(Dados!$G$3:$G$177,Dados!$A$3:$A$177,$A17)</f>
        <v>10</v>
      </c>
      <c r="M17" s="15" t="n">
        <f aca="false">SUMIFS(Dados!$H$3:$H$177,Dados!$A$3:$A$177,$A17)</f>
        <v>14</v>
      </c>
      <c r="N17" s="17" t="n">
        <f aca="false">IFERROR(M17/L17,0)</f>
        <v>1.4</v>
      </c>
      <c r="O17" s="16" t="n">
        <f aca="false">H17/3*100</f>
        <v>100</v>
      </c>
      <c r="P17" s="16" t="n">
        <f aca="false">IF(L17=0,100,(1-M17/(3*L17))*100)</f>
        <v>53.3333333333333</v>
      </c>
      <c r="Q17" s="16" t="n">
        <f aca="false">K17*100</f>
        <v>60</v>
      </c>
      <c r="R17" s="16" t="n">
        <f aca="false">Config!$B$4*O17+Config!$B$5*P17+Config!$B$6*Q17</f>
        <v>80.6666666666667</v>
      </c>
      <c r="S17" s="17" t="n">
        <f aca="false">IFERROR(VLOOKUP($D17,Config!$A$12:$B$24,2,FALSE()),1)</f>
        <v>0.93</v>
      </c>
      <c r="T17" s="18" t="n">
        <f aca="false">R17*S17</f>
        <v>75.02</v>
      </c>
      <c r="U17" s="19" t="n">
        <f aca="false">G17+(3*L17-M17)</f>
        <v>25</v>
      </c>
      <c r="V17" s="15" t="n">
        <f aca="false">IF($A17="","",SUMPRODUCT(($B$3:$B$27=$B17)*($T$3:$T$27&gt;$T17))+1)</f>
        <v>5</v>
      </c>
      <c r="W17" s="15" t="str">
        <f aca="false">IF($A17="","",IF($F17&lt;Config!$B$7,"Sem amostra",IF(AND($B17&gt;1,$V17&lt;=Config!$B$8),"⬆ Promoção",IF(AND($B17&lt;5,$V17&gt;COUNTIF($B$3:$B$27,$B17)-Config!$B$8),"⬇ Rebaixamento","—"))))</f>
        <v>⬇ Rebaixamento</v>
      </c>
    </row>
    <row r="18" customFormat="false" ht="15" hidden="false" customHeight="false" outlineLevel="0" collapsed="false">
      <c r="A18" s="20" t="str">
        <f aca="false">Jogadores!A18</f>
        <v>Caio</v>
      </c>
      <c r="B18" s="21" t="n">
        <f aca="false">IFERROR(VLOOKUP($A18,Jogadores!$A$3:$C$120,2,FALSE()),"")</f>
        <v>4</v>
      </c>
      <c r="C18" s="20" t="str">
        <f aca="false">IFERROR(VLOOKUP($B18,Config!$A$29:$C$33,2,FALSE()),"")</f>
        <v>RezaScamandu</v>
      </c>
      <c r="D18" s="21" t="str">
        <f aca="false">IFERROR(VLOOKUP($B18,Config!$A$29:$C$33,3,FALSE()),"")</f>
        <v>Master III</v>
      </c>
      <c r="E18" s="21" t="n">
        <f aca="false">IFERROR(VLOOKUP($A18,Jogadores!$A$3:$C$120,3,FALSE()),"")</f>
        <v>13</v>
      </c>
      <c r="F18" s="21" t="n">
        <f aca="false">COUNTIFS(Dados!$A$3:$A$177,$A18,Dados!$E$3:$E$177,"&gt;=0")</f>
        <v>7</v>
      </c>
      <c r="G18" s="21" t="n">
        <f aca="false">SUMIFS(Dados!$E$3:$E$177,Dados!$A$3:$A$177,$A18)</f>
        <v>18</v>
      </c>
      <c r="H18" s="22" t="n">
        <f aca="false">IFERROR(G18/F18,0)</f>
        <v>2.57142857142857</v>
      </c>
      <c r="I18" s="22" t="n">
        <f aca="false">IFERROR(AVERAGEIFS(Dados!$F$3:$F$177,Dados!$A$3:$A$177,$A18,Dados!$E$3:$E$177,"&gt;=0"),0)</f>
        <v>94.5714285714286</v>
      </c>
      <c r="J18" s="21" t="n">
        <f aca="false">COUNTIFS(Dados!$A$3:$A$177,$A18,Dados!$C$3:$C$177,"S",Dados!$D$3:$D$177,"N")</f>
        <v>7</v>
      </c>
      <c r="K18" s="22" t="n">
        <f aca="false">IFERROR(MIN(1,F18/J18),0)</f>
        <v>1</v>
      </c>
      <c r="L18" s="21" t="n">
        <f aca="false">SUMIFS(Dados!$G$3:$G$177,Dados!$A$3:$A$177,$A18)</f>
        <v>12</v>
      </c>
      <c r="M18" s="21" t="n">
        <f aca="false">SUMIFS(Dados!$H$3:$H$177,Dados!$A$3:$A$177,$A18)</f>
        <v>10</v>
      </c>
      <c r="N18" s="23" t="n">
        <f aca="false">IFERROR(M18/L18,0)</f>
        <v>0.833333333333333</v>
      </c>
      <c r="O18" s="22" t="n">
        <f aca="false">H18/3*100</f>
        <v>85.7142857142857</v>
      </c>
      <c r="P18" s="22" t="n">
        <f aca="false">IF(L18=0,100,(1-M18/(3*L18))*100)</f>
        <v>72.2222222222222</v>
      </c>
      <c r="Q18" s="22" t="n">
        <f aca="false">K18*100</f>
        <v>100</v>
      </c>
      <c r="R18" s="22" t="n">
        <f aca="false">Config!$B$4*O18+Config!$B$5*P18+Config!$B$6*Q18</f>
        <v>86.5873015873016</v>
      </c>
      <c r="S18" s="23" t="n">
        <f aca="false">IFERROR(VLOOKUP($D18,Config!$A$12:$B$24,2,FALSE()),1)</f>
        <v>0.87</v>
      </c>
      <c r="T18" s="24" t="n">
        <f aca="false">R18*S18</f>
        <v>75.3309523809524</v>
      </c>
      <c r="U18" s="25" t="n">
        <f aca="false">G18+(3*L18-M18)</f>
        <v>44</v>
      </c>
      <c r="V18" s="21" t="n">
        <f aca="false">IF($A18="","",SUMPRODUCT(($B$3:$B$27=$B18)*($T$3:$T$27&gt;$T18))+1)</f>
        <v>2</v>
      </c>
      <c r="W18" s="21" t="str">
        <f aca="false">IF($A18="","",IF($F18&lt;Config!$B$7,"Sem amostra",IF(AND($B18&gt;1,$V18&lt;=Config!$B$8),"⬆ Promoção",IF(AND($B18&lt;5,$V18&gt;COUNTIF($B$3:$B$27,$B18)-Config!$B$8),"⬇ Rebaixamento","—"))))</f>
        <v>⬆ Promoção</v>
      </c>
    </row>
    <row r="19" customFormat="false" ht="15" hidden="false" customHeight="false" outlineLevel="0" collapsed="false">
      <c r="A19" s="14" t="str">
        <f aca="false">Jogadores!A19</f>
        <v>Lu</v>
      </c>
      <c r="B19" s="15" t="n">
        <f aca="false">IFERROR(VLOOKUP($A19,Jogadores!$A$3:$C$120,2,FALSE()),"")</f>
        <v>4</v>
      </c>
      <c r="C19" s="14" t="str">
        <f aca="false">IFERROR(VLOOKUP($B19,Config!$A$29:$C$33,2,FALSE()),"")</f>
        <v>RezaScamandu</v>
      </c>
      <c r="D19" s="15" t="str">
        <f aca="false">IFERROR(VLOOKUP($B19,Config!$A$29:$C$33,3,FALSE()),"")</f>
        <v>Master III</v>
      </c>
      <c r="E19" s="15" t="n">
        <f aca="false">IFERROR(VLOOKUP($A19,Jogadores!$A$3:$C$120,3,FALSE()),"")</f>
        <v>13</v>
      </c>
      <c r="F19" s="15" t="n">
        <f aca="false">COUNTIFS(Dados!$A$3:$A$177,$A19,Dados!$E$3:$E$177,"&gt;=0")</f>
        <v>7</v>
      </c>
      <c r="G19" s="15" t="n">
        <f aca="false">SUMIFS(Dados!$E$3:$E$177,Dados!$A$3:$A$177,$A19)</f>
        <v>19</v>
      </c>
      <c r="H19" s="16" t="n">
        <f aca="false">IFERROR(G19/F19,0)</f>
        <v>2.71428571428571</v>
      </c>
      <c r="I19" s="16" t="n">
        <f aca="false">IFERROR(AVERAGEIFS(Dados!$F$3:$F$177,Dados!$A$3:$A$177,$A19,Dados!$E$3:$E$177,"&gt;=0"),0)</f>
        <v>95.1428571428571</v>
      </c>
      <c r="J19" s="15" t="n">
        <f aca="false">COUNTIFS(Dados!$A$3:$A$177,$A19,Dados!$C$3:$C$177,"S",Dados!$D$3:$D$177,"N")</f>
        <v>7</v>
      </c>
      <c r="K19" s="16" t="n">
        <f aca="false">IFERROR(MIN(1,F19/J19),0)</f>
        <v>1</v>
      </c>
      <c r="L19" s="15" t="n">
        <f aca="false">SUMIFS(Dados!$G$3:$G$177,Dados!$A$3:$A$177,$A19)</f>
        <v>12</v>
      </c>
      <c r="M19" s="15" t="n">
        <f aca="false">SUMIFS(Dados!$H$3:$H$177,Dados!$A$3:$A$177,$A19)</f>
        <v>9</v>
      </c>
      <c r="N19" s="17" t="n">
        <f aca="false">IFERROR(M19/L19,0)</f>
        <v>0.75</v>
      </c>
      <c r="O19" s="16" t="n">
        <f aca="false">H19/3*100</f>
        <v>90.4761904761905</v>
      </c>
      <c r="P19" s="16" t="n">
        <f aca="false">IF(L19=0,100,(1-M19/(3*L19))*100)</f>
        <v>75</v>
      </c>
      <c r="Q19" s="16" t="n">
        <f aca="false">K19*100</f>
        <v>100</v>
      </c>
      <c r="R19" s="16" t="n">
        <f aca="false">Config!$B$4*O19+Config!$B$5*P19+Config!$B$6*Q19</f>
        <v>89.7619047619048</v>
      </c>
      <c r="S19" s="17" t="n">
        <f aca="false">IFERROR(VLOOKUP($D19,Config!$A$12:$B$24,2,FALSE()),1)</f>
        <v>0.87</v>
      </c>
      <c r="T19" s="18" t="n">
        <f aca="false">R19*S19</f>
        <v>78.0928571428571</v>
      </c>
      <c r="U19" s="19" t="n">
        <f aca="false">G19+(3*L19-M19)</f>
        <v>46</v>
      </c>
      <c r="V19" s="15" t="n">
        <f aca="false">IF($A19="","",SUMPRODUCT(($B$3:$B$27=$B19)*($T$3:$T$27&gt;$T19))+1)</f>
        <v>1</v>
      </c>
      <c r="W19" s="15" t="str">
        <f aca="false">IF($A19="","",IF($F19&lt;Config!$B$7,"Sem amostra",IF(AND($B19&gt;1,$V19&lt;=Config!$B$8),"⬆ Promoção",IF(AND($B19&lt;5,$V19&gt;COUNTIF($B$3:$B$27,$B19)-Config!$B$8),"⬇ Rebaixamento","—"))))</f>
        <v>⬆ Promoção</v>
      </c>
    </row>
    <row r="20" customFormat="false" ht="15" hidden="false" customHeight="false" outlineLevel="0" collapsed="false">
      <c r="A20" s="20" t="str">
        <f aca="false">Jogadores!A20</f>
        <v>Tom</v>
      </c>
      <c r="B20" s="21" t="n">
        <f aca="false">IFERROR(VLOOKUP($A20,Jogadores!$A$3:$C$120,2,FALSE()),"")</f>
        <v>4</v>
      </c>
      <c r="C20" s="20" t="str">
        <f aca="false">IFERROR(VLOOKUP($B20,Config!$A$29:$C$33,2,FALSE()),"")</f>
        <v>RezaScamandu</v>
      </c>
      <c r="D20" s="21" t="str">
        <f aca="false">IFERROR(VLOOKUP($B20,Config!$A$29:$C$33,3,FALSE()),"")</f>
        <v>Master III</v>
      </c>
      <c r="E20" s="21" t="n">
        <f aca="false">IFERROR(VLOOKUP($A20,Jogadores!$A$3:$C$120,3,FALSE()),"")</f>
        <v>12</v>
      </c>
      <c r="F20" s="21" t="n">
        <f aca="false">COUNTIFS(Dados!$A$3:$A$177,$A20,Dados!$E$3:$E$177,"&gt;=0")</f>
        <v>4</v>
      </c>
      <c r="G20" s="21" t="n">
        <f aca="false">SUMIFS(Dados!$E$3:$E$177,Dados!$A$3:$A$177,$A20)</f>
        <v>10</v>
      </c>
      <c r="H20" s="22" t="n">
        <f aca="false">IFERROR(G20/F20,0)</f>
        <v>2.5</v>
      </c>
      <c r="I20" s="22" t="n">
        <f aca="false">IFERROR(AVERAGEIFS(Dados!$F$3:$F$177,Dados!$A$3:$A$177,$A20,Dados!$E$3:$E$177,"&gt;=0"),0)</f>
        <v>94</v>
      </c>
      <c r="J20" s="21" t="n">
        <f aca="false">COUNTIFS(Dados!$A$3:$A$177,$A20,Dados!$C$3:$C$177,"S",Dados!$D$3:$D$177,"N")</f>
        <v>4</v>
      </c>
      <c r="K20" s="22" t="n">
        <f aca="false">IFERROR(MIN(1,F20/J20),0)</f>
        <v>1</v>
      </c>
      <c r="L20" s="21" t="n">
        <f aca="false">SUMIFS(Dados!$G$3:$G$177,Dados!$A$3:$A$177,$A20)</f>
        <v>13</v>
      </c>
      <c r="M20" s="21" t="n">
        <f aca="false">SUMIFS(Dados!$H$3:$H$177,Dados!$A$3:$A$177,$A20)</f>
        <v>13</v>
      </c>
      <c r="N20" s="23" t="n">
        <f aca="false">IFERROR(M20/L20,0)</f>
        <v>1</v>
      </c>
      <c r="O20" s="22" t="n">
        <f aca="false">H20/3*100</f>
        <v>83.3333333333333</v>
      </c>
      <c r="P20" s="22" t="n">
        <f aca="false">IF(L20=0,100,(1-M20/(3*L20))*100)</f>
        <v>66.6666666666667</v>
      </c>
      <c r="Q20" s="22" t="n">
        <f aca="false">K20*100</f>
        <v>100</v>
      </c>
      <c r="R20" s="22" t="n">
        <f aca="false">Config!$B$4*O20+Config!$B$5*P20+Config!$B$6*Q20</f>
        <v>84.1666666666667</v>
      </c>
      <c r="S20" s="23" t="n">
        <f aca="false">IFERROR(VLOOKUP($D20,Config!$A$12:$B$24,2,FALSE()),1)</f>
        <v>0.87</v>
      </c>
      <c r="T20" s="24" t="n">
        <f aca="false">R20*S20</f>
        <v>73.225</v>
      </c>
      <c r="U20" s="25" t="n">
        <f aca="false">G20+(3*L20-M20)</f>
        <v>36</v>
      </c>
      <c r="V20" s="21" t="n">
        <f aca="false">IF($A20="","",SUMPRODUCT(($B$3:$B$27=$B20)*($T$3:$T$27&gt;$T20))+1)</f>
        <v>3</v>
      </c>
      <c r="W20" s="21" t="str">
        <f aca="false">IF($A20="","",IF($F20&lt;Config!$B$7,"Sem amostra",IF(AND($B20&gt;1,$V20&lt;=Config!$B$8),"⬆ Promoção",IF(AND($B20&lt;5,$V20&gt;COUNTIF($B$3:$B$27,$B20)-Config!$B$8),"⬇ Rebaixamento","—"))))</f>
        <v>—</v>
      </c>
    </row>
    <row r="21" customFormat="false" ht="15" hidden="false" customHeight="false" outlineLevel="0" collapsed="false">
      <c r="A21" s="14" t="str">
        <f aca="false">Jogadores!A21</f>
        <v>Sofia</v>
      </c>
      <c r="B21" s="15" t="n">
        <f aca="false">IFERROR(VLOOKUP($A21,Jogadores!$A$3:$C$120,2,FALSE()),"")</f>
        <v>4</v>
      </c>
      <c r="C21" s="14" t="str">
        <f aca="false">IFERROR(VLOOKUP($B21,Config!$A$29:$C$33,2,FALSE()),"")</f>
        <v>RezaScamandu</v>
      </c>
      <c r="D21" s="15" t="str">
        <f aca="false">IFERROR(VLOOKUP($B21,Config!$A$29:$C$33,3,FALSE()),"")</f>
        <v>Master III</v>
      </c>
      <c r="E21" s="15" t="n">
        <f aca="false">IFERROR(VLOOKUP($A21,Jogadores!$A$3:$C$120,3,FALSE()),"")</f>
        <v>13</v>
      </c>
      <c r="F21" s="15" t="n">
        <f aca="false">COUNTIFS(Dados!$A$3:$A$177,$A21,Dados!$E$3:$E$177,"&gt;=0")</f>
        <v>4</v>
      </c>
      <c r="G21" s="15" t="n">
        <f aca="false">SUMIFS(Dados!$E$3:$E$177,Dados!$A$3:$A$177,$A21)</f>
        <v>7</v>
      </c>
      <c r="H21" s="16" t="n">
        <f aca="false">IFERROR(G21/F21,0)</f>
        <v>1.75</v>
      </c>
      <c r="I21" s="16" t="n">
        <f aca="false">IFERROR(AVERAGEIFS(Dados!$F$3:$F$177,Dados!$A$3:$A$177,$A21,Dados!$E$3:$E$177,"&gt;=0"),0)</f>
        <v>74</v>
      </c>
      <c r="J21" s="15" t="n">
        <f aca="false">COUNTIFS(Dados!$A$3:$A$177,$A21,Dados!$C$3:$C$177,"S",Dados!$D$3:$D$177,"N")</f>
        <v>6</v>
      </c>
      <c r="K21" s="16" t="n">
        <f aca="false">IFERROR(MIN(1,F21/J21),0)</f>
        <v>0.666666666666667</v>
      </c>
      <c r="L21" s="15" t="n">
        <f aca="false">SUMIFS(Dados!$G$3:$G$177,Dados!$A$3:$A$177,$A21)</f>
        <v>12</v>
      </c>
      <c r="M21" s="15" t="n">
        <f aca="false">SUMIFS(Dados!$H$3:$H$177,Dados!$A$3:$A$177,$A21)</f>
        <v>16</v>
      </c>
      <c r="N21" s="17" t="n">
        <f aca="false">IFERROR(M21/L21,0)</f>
        <v>1.33333333333333</v>
      </c>
      <c r="O21" s="16" t="n">
        <f aca="false">H21/3*100</f>
        <v>58.3333333333333</v>
      </c>
      <c r="P21" s="16" t="n">
        <f aca="false">IF(L21=0,100,(1-M21/(3*L21))*100)</f>
        <v>55.5555555555556</v>
      </c>
      <c r="Q21" s="16" t="n">
        <f aca="false">K21*100</f>
        <v>66.6666666666667</v>
      </c>
      <c r="R21" s="16" t="n">
        <f aca="false">Config!$B$4*O21+Config!$B$5*P21+Config!$B$6*Q21</f>
        <v>59.8611111111111</v>
      </c>
      <c r="S21" s="17" t="n">
        <f aca="false">IFERROR(VLOOKUP($D21,Config!$A$12:$B$24,2,FALSE()),1)</f>
        <v>0.87</v>
      </c>
      <c r="T21" s="18" t="n">
        <f aca="false">R21*S21</f>
        <v>52.0791666666667</v>
      </c>
      <c r="U21" s="19" t="n">
        <f aca="false">G21+(3*L21-M21)</f>
        <v>27</v>
      </c>
      <c r="V21" s="15" t="n">
        <f aca="false">IF($A21="","",SUMPRODUCT(($B$3:$B$27=$B21)*($T$3:$T$27&gt;$T21))+1)</f>
        <v>4</v>
      </c>
      <c r="W21" s="15" t="str">
        <f aca="false">IF($A21="","",IF($F21&lt;Config!$B$7,"Sem amostra",IF(AND($B21&gt;1,$V21&lt;=Config!$B$8),"⬆ Promoção",IF(AND($B21&lt;5,$V21&gt;COUNTIF($B$3:$B$27,$B21)-Config!$B$8),"⬇ Rebaixamento","—"))))</f>
        <v>⬇ Rebaixamento</v>
      </c>
    </row>
    <row r="22" customFormat="false" ht="15" hidden="false" customHeight="false" outlineLevel="0" collapsed="false">
      <c r="A22" s="20" t="str">
        <f aca="false">Jogadores!A22</f>
        <v>Igor</v>
      </c>
      <c r="B22" s="21" t="n">
        <f aca="false">IFERROR(VLOOKUP($A22,Jogadores!$A$3:$C$120,2,FALSE()),"")</f>
        <v>4</v>
      </c>
      <c r="C22" s="20" t="str">
        <f aca="false">IFERROR(VLOOKUP($B22,Config!$A$29:$C$33,2,FALSE()),"")</f>
        <v>RezaScamandu</v>
      </c>
      <c r="D22" s="21" t="str">
        <f aca="false">IFERROR(VLOOKUP($B22,Config!$A$29:$C$33,3,FALSE()),"")</f>
        <v>Master III</v>
      </c>
      <c r="E22" s="21" t="n">
        <f aca="false">IFERROR(VLOOKUP($A22,Jogadores!$A$3:$C$120,3,FALSE()),"")</f>
        <v>12</v>
      </c>
      <c r="F22" s="21" t="n">
        <f aca="false">COUNTIFS(Dados!$A$3:$A$177,$A22,Dados!$E$3:$E$177,"&gt;=0")</f>
        <v>4</v>
      </c>
      <c r="G22" s="21" t="n">
        <f aca="false">SUMIFS(Dados!$E$3:$E$177,Dados!$A$3:$A$177,$A22)</f>
        <v>5</v>
      </c>
      <c r="H22" s="22" t="n">
        <f aca="false">IFERROR(G22/F22,0)</f>
        <v>1.25</v>
      </c>
      <c r="I22" s="22" t="n">
        <f aca="false">IFERROR(AVERAGEIFS(Dados!$F$3:$F$177,Dados!$A$3:$A$177,$A22,Dados!$E$3:$E$177,"&gt;=0"),0)</f>
        <v>74.75</v>
      </c>
      <c r="J22" s="21" t="n">
        <f aca="false">COUNTIFS(Dados!$A$3:$A$177,$A22,Dados!$C$3:$C$177,"S",Dados!$D$3:$D$177,"N")</f>
        <v>6</v>
      </c>
      <c r="K22" s="22" t="n">
        <f aca="false">IFERROR(MIN(1,F22/J22),0)</f>
        <v>0.666666666666667</v>
      </c>
      <c r="L22" s="21" t="n">
        <f aca="false">SUMIFS(Dados!$G$3:$G$177,Dados!$A$3:$A$177,$A22)</f>
        <v>9</v>
      </c>
      <c r="M22" s="21" t="n">
        <f aca="false">SUMIFS(Dados!$H$3:$H$177,Dados!$A$3:$A$177,$A22)</f>
        <v>11</v>
      </c>
      <c r="N22" s="23" t="n">
        <f aca="false">IFERROR(M22/L22,0)</f>
        <v>1.22222222222222</v>
      </c>
      <c r="O22" s="22" t="n">
        <f aca="false">H22/3*100</f>
        <v>41.6666666666667</v>
      </c>
      <c r="P22" s="22" t="n">
        <f aca="false">IF(L22=0,100,(1-M22/(3*L22))*100)</f>
        <v>59.2592592592593</v>
      </c>
      <c r="Q22" s="22" t="n">
        <f aca="false">K22*100</f>
        <v>66.6666666666667</v>
      </c>
      <c r="R22" s="22" t="n">
        <f aca="false">Config!$B$4*O22+Config!$B$5*P22+Config!$B$6*Q22</f>
        <v>51.4351851851852</v>
      </c>
      <c r="S22" s="23" t="n">
        <f aca="false">IFERROR(VLOOKUP($D22,Config!$A$12:$B$24,2,FALSE()),1)</f>
        <v>0.87</v>
      </c>
      <c r="T22" s="24" t="n">
        <f aca="false">R22*S22</f>
        <v>44.7486111111111</v>
      </c>
      <c r="U22" s="25" t="n">
        <f aca="false">G22+(3*L22-M22)</f>
        <v>21</v>
      </c>
      <c r="V22" s="21" t="n">
        <f aca="false">IF($A22="","",SUMPRODUCT(($B$3:$B$27=$B22)*($T$3:$T$27&gt;$T22))+1)</f>
        <v>5</v>
      </c>
      <c r="W22" s="21" t="str">
        <f aca="false">IF($A22="","",IF($F22&lt;Config!$B$7,"Sem amostra",IF(AND($B22&gt;1,$V22&lt;=Config!$B$8),"⬆ Promoção",IF(AND($B22&lt;5,$V22&gt;COUNTIF($B$3:$B$27,$B22)-Config!$B$8),"⬇ Rebaixamento","—"))))</f>
        <v>⬇ Rebaixamento</v>
      </c>
    </row>
    <row r="23" customFormat="false" ht="15" hidden="false" customHeight="false" outlineLevel="0" collapsed="false">
      <c r="A23" s="14" t="str">
        <f aca="false">Jogadores!A23</f>
        <v>Dani</v>
      </c>
      <c r="B23" s="15" t="n">
        <f aca="false">IFERROR(VLOOKUP($A23,Jogadores!$A$3:$C$120,2,FALSE()),"")</f>
        <v>5</v>
      </c>
      <c r="C23" s="14" t="str">
        <f aca="false">IFERROR(VLOOKUP($B23,Config!$A$29:$C$33,2,FALSE()),"")</f>
        <v>e-SpamiReza</v>
      </c>
      <c r="D23" s="15" t="str">
        <f aca="false">IFERROR(VLOOKUP($B23,Config!$A$29:$C$33,3,FALSE()),"")</f>
        <v>Crystal I</v>
      </c>
      <c r="E23" s="15" t="n">
        <f aca="false">IFERROR(VLOOKUP($A23,Jogadores!$A$3:$C$120,3,FALSE()),"")</f>
        <v>12</v>
      </c>
      <c r="F23" s="15" t="n">
        <f aca="false">COUNTIFS(Dados!$A$3:$A$177,$A23,Dados!$E$3:$E$177,"&gt;=0")</f>
        <v>7</v>
      </c>
      <c r="G23" s="15" t="n">
        <f aca="false">SUMIFS(Dados!$E$3:$E$177,Dados!$A$3:$A$177,$A23)</f>
        <v>17</v>
      </c>
      <c r="H23" s="16" t="n">
        <f aca="false">IFERROR(G23/F23,0)</f>
        <v>2.42857142857143</v>
      </c>
      <c r="I23" s="16" t="n">
        <f aca="false">IFERROR(AVERAGEIFS(Dados!$F$3:$F$177,Dados!$A$3:$A$177,$A23,Dados!$E$3:$E$177,"&gt;=0"),0)</f>
        <v>92.7142857142857</v>
      </c>
      <c r="J23" s="15" t="n">
        <f aca="false">COUNTIFS(Dados!$A$3:$A$177,$A23,Dados!$C$3:$C$177,"S",Dados!$D$3:$D$177,"N")</f>
        <v>7</v>
      </c>
      <c r="K23" s="16" t="n">
        <f aca="false">IFERROR(MIN(1,F23/J23),0)</f>
        <v>1</v>
      </c>
      <c r="L23" s="15" t="n">
        <f aca="false">SUMIFS(Dados!$G$3:$G$177,Dados!$A$3:$A$177,$A23)</f>
        <v>10</v>
      </c>
      <c r="M23" s="15" t="n">
        <f aca="false">SUMIFS(Dados!$H$3:$H$177,Dados!$A$3:$A$177,$A23)</f>
        <v>8</v>
      </c>
      <c r="N23" s="17" t="n">
        <f aca="false">IFERROR(M23/L23,0)</f>
        <v>0.8</v>
      </c>
      <c r="O23" s="16" t="n">
        <f aca="false">H23/3*100</f>
        <v>80.952380952381</v>
      </c>
      <c r="P23" s="16" t="n">
        <f aca="false">IF(L23=0,100,(1-M23/(3*L23))*100)</f>
        <v>73.3333333333333</v>
      </c>
      <c r="Q23" s="16" t="n">
        <f aca="false">K23*100</f>
        <v>100</v>
      </c>
      <c r="R23" s="16" t="n">
        <f aca="false">Config!$B$4*O23+Config!$B$5*P23+Config!$B$6*Q23</f>
        <v>84.1904761904762</v>
      </c>
      <c r="S23" s="17" t="n">
        <f aca="false">IFERROR(VLOOKUP($D23,Config!$A$12:$B$24,2,FALSE()),1)</f>
        <v>0.83</v>
      </c>
      <c r="T23" s="18" t="n">
        <f aca="false">R23*S23</f>
        <v>69.8780952380952</v>
      </c>
      <c r="U23" s="19" t="n">
        <f aca="false">G23+(3*L23-M23)</f>
        <v>39</v>
      </c>
      <c r="V23" s="15" t="n">
        <f aca="false">IF($A23="","",SUMPRODUCT(($B$3:$B$27=$B23)*($T$3:$T$27&gt;$T23))+1)</f>
        <v>3</v>
      </c>
      <c r="W23" s="15" t="str">
        <f aca="false">IF($A23="","",IF($F23&lt;Config!$B$7,"Sem amostra",IF(AND($B23&gt;1,$V23&lt;=Config!$B$8),"⬆ Promoção",IF(AND($B23&lt;5,$V23&gt;COUNTIF($B$3:$B$27,$B23)-Config!$B$8),"⬇ Rebaixamento","—"))))</f>
        <v>—</v>
      </c>
    </row>
    <row r="24" customFormat="false" ht="15" hidden="false" customHeight="false" outlineLevel="0" collapsed="false">
      <c r="A24" s="20" t="str">
        <f aca="false">Jogadores!A24</f>
        <v>Well</v>
      </c>
      <c r="B24" s="21" t="n">
        <f aca="false">IFERROR(VLOOKUP($A24,Jogadores!$A$3:$C$120,2,FALSE()),"")</f>
        <v>5</v>
      </c>
      <c r="C24" s="20" t="str">
        <f aca="false">IFERROR(VLOOKUP($B24,Config!$A$29:$C$33,2,FALSE()),"")</f>
        <v>e-SpamiReza</v>
      </c>
      <c r="D24" s="21" t="str">
        <f aca="false">IFERROR(VLOOKUP($B24,Config!$A$29:$C$33,3,FALSE()),"")</f>
        <v>Crystal I</v>
      </c>
      <c r="E24" s="21" t="n">
        <f aca="false">IFERROR(VLOOKUP($A24,Jogadores!$A$3:$C$120,3,FALSE()),"")</f>
        <v>12</v>
      </c>
      <c r="F24" s="21" t="n">
        <f aca="false">COUNTIFS(Dados!$A$3:$A$177,$A24,Dados!$E$3:$E$177,"&gt;=0")</f>
        <v>1</v>
      </c>
      <c r="G24" s="21" t="n">
        <f aca="false">SUMIFS(Dados!$E$3:$E$177,Dados!$A$3:$A$177,$A24)</f>
        <v>3</v>
      </c>
      <c r="H24" s="22" t="n">
        <f aca="false">IFERROR(G24/F24,0)</f>
        <v>3</v>
      </c>
      <c r="I24" s="22" t="n">
        <f aca="false">IFERROR(AVERAGEIFS(Dados!$F$3:$F$177,Dados!$A$3:$A$177,$A24,Dados!$E$3:$E$177,"&gt;=0"),0)</f>
        <v>97</v>
      </c>
      <c r="J24" s="21" t="n">
        <f aca="false">COUNTIFS(Dados!$A$3:$A$177,$A24,Dados!$C$3:$C$177,"S",Dados!$D$3:$D$177,"N")</f>
        <v>1</v>
      </c>
      <c r="K24" s="22" t="n">
        <f aca="false">IFERROR(MIN(1,F24/J24),0)</f>
        <v>1</v>
      </c>
      <c r="L24" s="21" t="n">
        <f aca="false">SUMIFS(Dados!$G$3:$G$177,Dados!$A$3:$A$177,$A24)</f>
        <v>13</v>
      </c>
      <c r="M24" s="21" t="n">
        <f aca="false">SUMIFS(Dados!$H$3:$H$177,Dados!$A$3:$A$177,$A24)</f>
        <v>12</v>
      </c>
      <c r="N24" s="23" t="n">
        <f aca="false">IFERROR(M24/L24,0)</f>
        <v>0.923076923076923</v>
      </c>
      <c r="O24" s="22" t="n">
        <f aca="false">H24/3*100</f>
        <v>100</v>
      </c>
      <c r="P24" s="22" t="n">
        <f aca="false">IF(L24=0,100,(1-M24/(3*L24))*100)</f>
        <v>69.2307692307692</v>
      </c>
      <c r="Q24" s="22" t="n">
        <f aca="false">K24*100</f>
        <v>100</v>
      </c>
      <c r="R24" s="22" t="n">
        <f aca="false">Config!$B$4*O24+Config!$B$5*P24+Config!$B$6*Q24</f>
        <v>93.8461538461539</v>
      </c>
      <c r="S24" s="23" t="n">
        <f aca="false">IFERROR(VLOOKUP($D24,Config!$A$12:$B$24,2,FALSE()),1)</f>
        <v>0.83</v>
      </c>
      <c r="T24" s="24" t="n">
        <f aca="false">R24*S24</f>
        <v>77.8923076923077</v>
      </c>
      <c r="U24" s="25" t="n">
        <f aca="false">G24+(3*L24-M24)</f>
        <v>30</v>
      </c>
      <c r="V24" s="21" t="n">
        <f aca="false">IF($A24="","",SUMPRODUCT(($B$3:$B$27=$B24)*($T$3:$T$27&gt;$T24))+1)</f>
        <v>1</v>
      </c>
      <c r="W24" s="21" t="str">
        <f aca="false">IF($A24="","",IF($F24&lt;Config!$B$7,"Sem amostra",IF(AND($B24&gt;1,$V24&lt;=Config!$B$8),"⬆ Promoção",IF(AND($B24&lt;5,$V24&gt;COUNTIF($B$3:$B$27,$B24)-Config!$B$8),"⬇ Rebaixamento","—"))))</f>
        <v>Sem amostra</v>
      </c>
    </row>
    <row r="25" customFormat="false" ht="15" hidden="false" customHeight="false" outlineLevel="0" collapsed="false">
      <c r="A25" s="14" t="str">
        <f aca="false">Jogadores!A25</f>
        <v>Aline</v>
      </c>
      <c r="B25" s="15" t="n">
        <f aca="false">IFERROR(VLOOKUP($A25,Jogadores!$A$3:$C$120,2,FALSE()),"")</f>
        <v>5</v>
      </c>
      <c r="C25" s="14" t="str">
        <f aca="false">IFERROR(VLOOKUP($B25,Config!$A$29:$C$33,2,FALSE()),"")</f>
        <v>e-SpamiReza</v>
      </c>
      <c r="D25" s="15" t="str">
        <f aca="false">IFERROR(VLOOKUP($B25,Config!$A$29:$C$33,3,FALSE()),"")</f>
        <v>Crystal I</v>
      </c>
      <c r="E25" s="15" t="n">
        <f aca="false">IFERROR(VLOOKUP($A25,Jogadores!$A$3:$C$120,3,FALSE()),"")</f>
        <v>11</v>
      </c>
      <c r="F25" s="15" t="n">
        <f aca="false">COUNTIFS(Dados!$A$3:$A$177,$A25,Dados!$E$3:$E$177,"&gt;=0")</f>
        <v>3</v>
      </c>
      <c r="G25" s="15" t="n">
        <f aca="false">SUMIFS(Dados!$E$3:$E$177,Dados!$A$3:$A$177,$A25)</f>
        <v>9</v>
      </c>
      <c r="H25" s="16" t="n">
        <f aca="false">IFERROR(G25/F25,0)</f>
        <v>3</v>
      </c>
      <c r="I25" s="16" t="n">
        <f aca="false">IFERROR(AVERAGEIFS(Dados!$F$3:$F$177,Dados!$A$3:$A$177,$A25,Dados!$E$3:$E$177,"&gt;=0"),0)</f>
        <v>98.3333333333333</v>
      </c>
      <c r="J25" s="15" t="n">
        <f aca="false">COUNTIFS(Dados!$A$3:$A$177,$A25,Dados!$C$3:$C$177,"S",Dados!$D$3:$D$177,"N")</f>
        <v>3</v>
      </c>
      <c r="K25" s="16" t="n">
        <f aca="false">IFERROR(MIN(1,F25/J25),0)</f>
        <v>1</v>
      </c>
      <c r="L25" s="15" t="n">
        <f aca="false">SUMIFS(Dados!$G$3:$G$177,Dados!$A$3:$A$177,$A25)</f>
        <v>10</v>
      </c>
      <c r="M25" s="15" t="n">
        <f aca="false">SUMIFS(Dados!$H$3:$H$177,Dados!$A$3:$A$177,$A25)</f>
        <v>11</v>
      </c>
      <c r="N25" s="17" t="n">
        <f aca="false">IFERROR(M25/L25,0)</f>
        <v>1.1</v>
      </c>
      <c r="O25" s="16" t="n">
        <f aca="false">H25/3*100</f>
        <v>100</v>
      </c>
      <c r="P25" s="16" t="n">
        <f aca="false">IF(L25=0,100,(1-M25/(3*L25))*100)</f>
        <v>63.3333333333333</v>
      </c>
      <c r="Q25" s="16" t="n">
        <f aca="false">K25*100</f>
        <v>100</v>
      </c>
      <c r="R25" s="16" t="n">
        <f aca="false">Config!$B$4*O25+Config!$B$5*P25+Config!$B$6*Q25</f>
        <v>92.6666666666667</v>
      </c>
      <c r="S25" s="17" t="n">
        <f aca="false">IFERROR(VLOOKUP($D25,Config!$A$12:$B$24,2,FALSE()),1)</f>
        <v>0.83</v>
      </c>
      <c r="T25" s="18" t="n">
        <f aca="false">R25*S25</f>
        <v>76.9133333333333</v>
      </c>
      <c r="U25" s="19" t="n">
        <f aca="false">G25+(3*L25-M25)</f>
        <v>28</v>
      </c>
      <c r="V25" s="15" t="n">
        <f aca="false">IF($A25="","",SUMPRODUCT(($B$3:$B$27=$B25)*($T$3:$T$27&gt;$T25))+1)</f>
        <v>2</v>
      </c>
      <c r="W25" s="15" t="str">
        <f aca="false">IF($A25="","",IF($F25&lt;Config!$B$7,"Sem amostra",IF(AND($B25&gt;1,$V25&lt;=Config!$B$8),"⬆ Promoção",IF(AND($B25&lt;5,$V25&gt;COUNTIF($B$3:$B$27,$B25)-Config!$B$8),"⬇ Rebaixamento","—"))))</f>
        <v>⬆ Promoção</v>
      </c>
    </row>
    <row r="26" customFormat="false" ht="15" hidden="false" customHeight="false" outlineLevel="0" collapsed="false">
      <c r="A26" s="20" t="str">
        <f aca="false">Jogadores!A26</f>
        <v>Rod</v>
      </c>
      <c r="B26" s="21" t="n">
        <f aca="false">IFERROR(VLOOKUP($A26,Jogadores!$A$3:$C$120,2,FALSE()),"")</f>
        <v>5</v>
      </c>
      <c r="C26" s="20" t="str">
        <f aca="false">IFERROR(VLOOKUP($B26,Config!$A$29:$C$33,2,FALSE()),"")</f>
        <v>e-SpamiReza</v>
      </c>
      <c r="D26" s="21" t="str">
        <f aca="false">IFERROR(VLOOKUP($B26,Config!$A$29:$C$33,3,FALSE()),"")</f>
        <v>Crystal I</v>
      </c>
      <c r="E26" s="21" t="n">
        <f aca="false">IFERROR(VLOOKUP($A26,Jogadores!$A$3:$C$120,3,FALSE()),"")</f>
        <v>12</v>
      </c>
      <c r="F26" s="21" t="n">
        <f aca="false">COUNTIFS(Dados!$A$3:$A$177,$A26,Dados!$E$3:$E$177,"&gt;=0")</f>
        <v>4</v>
      </c>
      <c r="G26" s="21" t="n">
        <f aca="false">SUMIFS(Dados!$E$3:$E$177,Dados!$A$3:$A$177,$A26)</f>
        <v>10</v>
      </c>
      <c r="H26" s="22" t="n">
        <f aca="false">IFERROR(G26/F26,0)</f>
        <v>2.5</v>
      </c>
      <c r="I26" s="22" t="n">
        <f aca="false">IFERROR(AVERAGEIFS(Dados!$F$3:$F$177,Dados!$A$3:$A$177,$A26,Dados!$E$3:$E$177,"&gt;=0"),0)</f>
        <v>91.5</v>
      </c>
      <c r="J26" s="21" t="n">
        <f aca="false">COUNTIFS(Dados!$A$3:$A$177,$A26,Dados!$C$3:$C$177,"S",Dados!$D$3:$D$177,"N")</f>
        <v>5</v>
      </c>
      <c r="K26" s="22" t="n">
        <f aca="false">IFERROR(MIN(1,F26/J26),0)</f>
        <v>0.8</v>
      </c>
      <c r="L26" s="21" t="n">
        <f aca="false">SUMIFS(Dados!$G$3:$G$177,Dados!$A$3:$A$177,$A26)</f>
        <v>12</v>
      </c>
      <c r="M26" s="21" t="n">
        <f aca="false">SUMIFS(Dados!$H$3:$H$177,Dados!$A$3:$A$177,$A26)</f>
        <v>17</v>
      </c>
      <c r="N26" s="23" t="n">
        <f aca="false">IFERROR(M26/L26,0)</f>
        <v>1.41666666666667</v>
      </c>
      <c r="O26" s="22" t="n">
        <f aca="false">H26/3*100</f>
        <v>83.3333333333333</v>
      </c>
      <c r="P26" s="22" t="n">
        <f aca="false">IF(L26=0,100,(1-M26/(3*L26))*100)</f>
        <v>52.7777777777778</v>
      </c>
      <c r="Q26" s="22" t="n">
        <f aca="false">K26*100</f>
        <v>80</v>
      </c>
      <c r="R26" s="22" t="n">
        <f aca="false">Config!$B$4*O26+Config!$B$5*P26+Config!$B$6*Q26</f>
        <v>76.3888888888889</v>
      </c>
      <c r="S26" s="23" t="n">
        <f aca="false">IFERROR(VLOOKUP($D26,Config!$A$12:$B$24,2,FALSE()),1)</f>
        <v>0.83</v>
      </c>
      <c r="T26" s="24" t="n">
        <f aca="false">R26*S26</f>
        <v>63.4027777777778</v>
      </c>
      <c r="U26" s="25" t="n">
        <f aca="false">G26+(3*L26-M26)</f>
        <v>29</v>
      </c>
      <c r="V26" s="21" t="n">
        <f aca="false">IF($A26="","",SUMPRODUCT(($B$3:$B$27=$B26)*($T$3:$T$27&gt;$T26))+1)</f>
        <v>4</v>
      </c>
      <c r="W26" s="21" t="str">
        <f aca="false">IF($A26="","",IF($F26&lt;Config!$B$7,"Sem amostra",IF(AND($B26&gt;1,$V26&lt;=Config!$B$8),"⬆ Promoção",IF(AND($B26&lt;5,$V26&gt;COUNTIF($B$3:$B$27,$B26)-Config!$B$8),"⬇ Rebaixamento","—"))))</f>
        <v>—</v>
      </c>
    </row>
    <row r="27" customFormat="false" ht="15" hidden="false" customHeight="false" outlineLevel="0" collapsed="false">
      <c r="A27" s="14" t="str">
        <f aca="false">Jogadores!A27</f>
        <v>Nino</v>
      </c>
      <c r="B27" s="15" t="n">
        <f aca="false">IFERROR(VLOOKUP($A27,Jogadores!$A$3:$C$120,2,FALSE()),"")</f>
        <v>5</v>
      </c>
      <c r="C27" s="14" t="str">
        <f aca="false">IFERROR(VLOOKUP($B27,Config!$A$29:$C$33,2,FALSE()),"")</f>
        <v>e-SpamiReza</v>
      </c>
      <c r="D27" s="15" t="str">
        <f aca="false">IFERROR(VLOOKUP($B27,Config!$A$29:$C$33,3,FALSE()),"")</f>
        <v>Crystal I</v>
      </c>
      <c r="E27" s="15" t="n">
        <f aca="false">IFERROR(VLOOKUP($A27,Jogadores!$A$3:$C$120,3,FALSE()),"")</f>
        <v>11</v>
      </c>
      <c r="F27" s="15" t="n">
        <f aca="false">COUNTIFS(Dados!$A$3:$A$177,$A27,Dados!$E$3:$E$177,"&gt;=0")</f>
        <v>3</v>
      </c>
      <c r="G27" s="15" t="n">
        <f aca="false">SUMIFS(Dados!$E$3:$E$177,Dados!$A$3:$A$177,$A27)</f>
        <v>6</v>
      </c>
      <c r="H27" s="16" t="n">
        <f aca="false">IFERROR(G27/F27,0)</f>
        <v>2</v>
      </c>
      <c r="I27" s="16" t="n">
        <f aca="false">IFERROR(AVERAGEIFS(Dados!$F$3:$F$177,Dados!$A$3:$A$177,$A27,Dados!$E$3:$E$177,"&gt;=0"),0)</f>
        <v>80.6666666666667</v>
      </c>
      <c r="J27" s="15" t="n">
        <f aca="false">COUNTIFS(Dados!$A$3:$A$177,$A27,Dados!$C$3:$C$177,"S",Dados!$D$3:$D$177,"N")</f>
        <v>5</v>
      </c>
      <c r="K27" s="16" t="n">
        <f aca="false">IFERROR(MIN(1,F27/J27),0)</f>
        <v>0.6</v>
      </c>
      <c r="L27" s="15" t="n">
        <f aca="false">SUMIFS(Dados!$G$3:$G$177,Dados!$A$3:$A$177,$A27)</f>
        <v>10</v>
      </c>
      <c r="M27" s="15" t="n">
        <f aca="false">SUMIFS(Dados!$H$3:$H$177,Dados!$A$3:$A$177,$A27)</f>
        <v>8</v>
      </c>
      <c r="N27" s="17" t="n">
        <f aca="false">IFERROR(M27/L27,0)</f>
        <v>0.8</v>
      </c>
      <c r="O27" s="16" t="n">
        <f aca="false">H27/3*100</f>
        <v>66.6666666666667</v>
      </c>
      <c r="P27" s="16" t="n">
        <f aca="false">IF(L27=0,100,(1-M27/(3*L27))*100)</f>
        <v>73.3333333333333</v>
      </c>
      <c r="Q27" s="16" t="n">
        <f aca="false">K27*100</f>
        <v>60</v>
      </c>
      <c r="R27" s="16" t="n">
        <f aca="false">Config!$B$4*O27+Config!$B$5*P27+Config!$B$6*Q27</f>
        <v>66.3333333333333</v>
      </c>
      <c r="S27" s="17" t="n">
        <f aca="false">IFERROR(VLOOKUP($D27,Config!$A$12:$B$24,2,FALSE()),1)</f>
        <v>0.83</v>
      </c>
      <c r="T27" s="18" t="n">
        <f aca="false">R27*S27</f>
        <v>55.0566666666667</v>
      </c>
      <c r="U27" s="19" t="n">
        <f aca="false">G27+(3*L27-M27)</f>
        <v>28</v>
      </c>
      <c r="V27" s="15" t="n">
        <f aca="false">IF($A27="","",SUMPRODUCT(($B$3:$B$27=$B27)*($T$3:$T$27&gt;$T27))+1)</f>
        <v>5</v>
      </c>
      <c r="W27" s="15" t="str">
        <f aca="false">IF($A27="","",IF($F27&lt;Config!$B$7,"Sem amostra",IF(AND($B27&gt;1,$V27&lt;=Config!$B$8),"⬆ Promoção",IF(AND($B27&lt;5,$V27&gt;COUNTIF($B$3:$B$27,$B27)-Config!$B$8),"⬇ Rebaixamento","—"))))</f>
        <v>—</v>
      </c>
    </row>
  </sheetData>
  <mergeCells count="1">
    <mergeCell ref="A1:W1"/>
  </mergeCells>
  <conditionalFormatting sqref="W3:W27">
    <cfRule type="cellIs" priority="2" operator="equal" aboveAverage="0" equalAverage="0" bottom="0" percent="0" rank="0" text="" dxfId="0">
      <formula>"⬆ Promoção"</formula>
    </cfRule>
    <cfRule type="cellIs" priority="3" operator="equal" aboveAverage="0" equalAverage="0" bottom="0" percent="0" rank="0" text="" dxfId="1">
      <formula>"⬇ Rebaixamento"</formula>
    </cfRule>
  </conditionalFormatting>
  <conditionalFormatting sqref="T3:T27">
    <cfRule type="colorScale" priority="4">
      <colorScale>
        <cfvo type="min" val="0"/>
        <cfvo type="percentile" val="50"/>
        <cfvo type="max" val="0"/>
        <color rgb="FFB23A48"/>
        <color rgb="FFE8B94A"/>
        <color rgb="FF1E7F4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2026-07-01T00:17:31Z</dcterms:created>
  <dc:creator>openpyxl</dc:creator>
  <dc:description/>
  <dc:language>en-US</dc:language>
  <cp:lastModifiedBy/>
  <dcterms:modified xsi:type="dcterms:W3CDTF">2026-07-01T00:17:31Z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